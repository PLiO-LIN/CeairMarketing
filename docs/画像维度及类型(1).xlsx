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 activeTab="1"/>
  </bookViews>
  <sheets>
    <sheet name="旅客画像维度" sheetId="1" r:id="rId1"/>
    <sheet name="画像类型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<sst xmlns="http://schemas.openxmlformats.org/spreadsheetml/2006/main" count="1121" uniqueCount="500">
  <si>
    <t>采集模块</t>
  </si>
  <si>
    <t>字段名称</t>
  </si>
  <si>
    <t>字段代码</t>
  </si>
  <si>
    <t>数据类型</t>
  </si>
  <si>
    <t>采集方式</t>
  </si>
  <si>
    <t>是否必填</t>
  </si>
  <si>
    <t>选项/格式</t>
  </si>
  <si>
    <t>更新频率</t>
  </si>
  <si>
    <t>适用画像</t>
  </si>
  <si>
    <t>一、基础信息</t>
  </si>
  <si>
    <t>会员编号</t>
  </si>
  <si>
    <t>member_id</t>
  </si>
  <si>
    <t>字符串</t>
  </si>
  <si>
    <t>系统生成</t>
  </si>
  <si>
    <t>是</t>
  </si>
  <si>
    <t>自动生成</t>
  </si>
  <si>
    <t>静态</t>
  </si>
  <si>
    <t>全部</t>
  </si>
  <si>
    <t>姓名</t>
  </si>
  <si>
    <t>full_name</t>
  </si>
  <si>
    <t>用户填写</t>
  </si>
  <si>
    <t>自由文本</t>
  </si>
  <si>
    <t>性别</t>
  </si>
  <si>
    <t>gender</t>
  </si>
  <si>
    <t>枚举</t>
  </si>
  <si>
    <t>用户填写/证件识别</t>
  </si>
  <si>
    <t>男/女</t>
  </si>
  <si>
    <t>出生日期</t>
  </si>
  <si>
    <t>birth_date</t>
  </si>
  <si>
    <t>日期</t>
  </si>
  <si>
    <t>证件识别</t>
  </si>
  <si>
    <t>YYYY-MM-DD</t>
  </si>
  <si>
    <t>国籍</t>
  </si>
  <si>
    <t>nationality</t>
  </si>
  <si>
    <t>下拉选择（全球国家列表）</t>
  </si>
  <si>
    <t>证件类型</t>
  </si>
  <si>
    <t>id_type</t>
  </si>
  <si>
    <t>身份证/护照/港澳台通行证</t>
  </si>
  <si>
    <t>证件号码</t>
  </si>
  <si>
    <t>id_number</t>
  </si>
  <si>
    <t>常驻地（省份）</t>
  </si>
  <si>
    <t>province</t>
  </si>
  <si>
    <t>用户填写/IP识别</t>
  </si>
  <si>
    <t>下拉选择（34个省级行政区）</t>
  </si>
  <si>
    <t>季度</t>
  </si>
  <si>
    <t>常驻地（城市）</t>
  </si>
  <si>
    <t>city</t>
  </si>
  <si>
    <t>下拉选择（城市列表）</t>
  </si>
  <si>
    <t>手机号码</t>
  </si>
  <si>
    <t>mobile</t>
  </si>
  <si>
    <t>11位数字</t>
  </si>
  <si>
    <t>电子邮箱</t>
  </si>
  <si>
    <t>email</t>
  </si>
  <si>
    <t>邮箱格式</t>
  </si>
  <si>
    <t>注册渠道</t>
  </si>
  <si>
    <t>register_channel</t>
  </si>
  <si>
    <t>系统记录</t>
  </si>
  <si>
    <t>App/官网/小程序/线下柜台/第三方</t>
  </si>
  <si>
    <t>最高学历</t>
  </si>
  <si>
    <t>education</t>
  </si>
  <si>
    <t>否</t>
  </si>
  <si>
    <t>博士/硕士/本科/大专/高中及以下</t>
  </si>
  <si>
    <t>年度</t>
  </si>
  <si>
    <t>职业类型</t>
  </si>
  <si>
    <t>occupation</t>
  </si>
  <si>
    <t>用户填写/行为推断</t>
  </si>
  <si>
    <t>企业高管/企业中层/专业人士/公务员/自由职业/学生/退休/其他</t>
  </si>
  <si>
    <t>A/B/D</t>
  </si>
  <si>
    <t>行业类别</t>
  </si>
  <si>
    <t>industry</t>
  </si>
  <si>
    <t>下拉选择（参照国民经济行业分类）</t>
  </si>
  <si>
    <t>月收入区间</t>
  </si>
  <si>
    <t>income</t>
  </si>
  <si>
    <t>用户填写/消费推断</t>
  </si>
  <si>
    <t>5000以下/5001-10000/10001-15000/15001-20000/20001-30000/30001-50000/50000以上</t>
  </si>
  <si>
    <t>二、出行行为</t>
  </si>
  <si>
    <t>首次乘机日期</t>
  </si>
  <si>
    <t>first_flight_date</t>
  </si>
  <si>
    <t>系统自动</t>
  </si>
  <si>
    <t>首张机票出票日期</t>
  </si>
  <si>
    <t>累计飞行次数</t>
  </si>
  <si>
    <t>total_flights</t>
  </si>
  <si>
    <t>整数</t>
  </si>
  <si>
    <t>系统统计</t>
  </si>
  <si>
    <t>历史总飞行次数</t>
  </si>
  <si>
    <t>实时</t>
  </si>
  <si>
    <t>年飞行次数</t>
  </si>
  <si>
    <t>annual_flights</t>
  </si>
  <si>
    <t>近12个月飞行次数</t>
  </si>
  <si>
    <t>月均飞行次数</t>
  </si>
  <si>
    <t>monthly_avg_flights</t>
  </si>
  <si>
    <t>浮点数</t>
  </si>
  <si>
    <t>近12个月月均</t>
  </si>
  <si>
    <t>累计飞行里程</t>
  </si>
  <si>
    <t>total_mileage</t>
  </si>
  <si>
    <t>历史总里程（公里）</t>
  </si>
  <si>
    <t>年飞行里程</t>
  </si>
  <si>
    <t>annual_mileage</t>
  </si>
  <si>
    <t>近12个月里程</t>
  </si>
  <si>
    <t>最近一次飞行日期</t>
  </si>
  <si>
    <t>last_flight_date</t>
  </si>
  <si>
    <t>最近航班日期</t>
  </si>
  <si>
    <t>距上次飞行天数</t>
  </si>
  <si>
    <t>days_since_last_flight</t>
  </si>
  <si>
    <t>系统计算</t>
  </si>
  <si>
    <t>R值（Recency）</t>
  </si>
  <si>
    <t>最常出发机场</t>
  </si>
  <si>
    <t>preferred_dep_airport</t>
  </si>
  <si>
    <t>频次最高的出发机场三字码</t>
  </si>
  <si>
    <t>月度</t>
  </si>
  <si>
    <t>最常到达机场</t>
  </si>
  <si>
    <t>preferred_arr_airport</t>
  </si>
  <si>
    <t>频次最高的到达机场三字码</t>
  </si>
  <si>
    <t>最常乘坐航线</t>
  </si>
  <si>
    <t>preferred_route</t>
  </si>
  <si>
    <t>频次最高的OD对</t>
  </si>
  <si>
    <t>出行高峰时段</t>
  </si>
  <si>
    <t>peak_travel_time</t>
  </si>
  <si>
    <t>系统分析</t>
  </si>
  <si>
    <t>早班(6-9点)/午班(10-15点)/晚班(16-21点)/红眼(22-5点)</t>
  </si>
  <si>
    <t>出行日偏好</t>
  </si>
  <si>
    <t>weekday_preference</t>
  </si>
  <si>
    <t>工作日/周末/节假日/灵活</t>
  </si>
  <si>
    <t>预订提前期</t>
  </si>
  <si>
    <t>booking_lead_time</t>
  </si>
  <si>
    <t>≤3天/4-7天/8-15天/16-30天/&gt;30天</t>
  </si>
  <si>
    <t>出行目的（推断）</t>
  </si>
  <si>
    <t>travel_purpose</t>
  </si>
  <si>
    <t>系统推断</t>
  </si>
  <si>
    <t>商务/旅游/探亲访友/未知</t>
  </si>
  <si>
    <t>常见出行方式</t>
  </si>
  <si>
    <t>travel_companion</t>
  </si>
  <si>
    <t>多选枚举</t>
  </si>
  <si>
    <t>独自/家庭(含儿童)/家庭(含老人)/情侣/团队(≥10人)/商务同行</t>
  </si>
  <si>
    <t>是否有儿童随行</t>
  </si>
  <si>
    <t>has_children</t>
  </si>
  <si>
    <t>布尔</t>
  </si>
  <si>
    <t>是/否</t>
  </si>
  <si>
    <t>C</t>
  </si>
  <si>
    <t>是否有老人随行</t>
  </si>
  <si>
    <t>has_elderly</t>
  </si>
  <si>
    <t>三、消费偏好</t>
  </si>
  <si>
    <t>舱位偏好</t>
  </si>
  <si>
    <t>cabin_preference</t>
  </si>
  <si>
    <t>头等舱/公务舱/高端经济舱/经济舱</t>
  </si>
  <si>
    <t>两舱乘机占比</t>
  </si>
  <si>
    <t>premium_cabin_ratio</t>
  </si>
  <si>
    <t>近12个月两舱次数/总飞行次数</t>
  </si>
  <si>
    <t>A/D</t>
  </si>
  <si>
    <t>机型偏好</t>
  </si>
  <si>
    <t>aircraft_type_preference</t>
  </si>
  <si>
    <t>宽体机(双通道)/窄体机(单通道)/无偏好</t>
  </si>
  <si>
    <t>A/B</t>
  </si>
  <si>
    <t>是否偏好靠窗座位</t>
  </si>
  <si>
    <t>window_seat_preference</t>
  </si>
  <si>
    <t>系统分析/用户设置</t>
  </si>
  <si>
    <t>是否偏好过道座位</t>
  </si>
  <si>
    <t>aisle_seat_preference</t>
  </si>
  <si>
    <t>是否购买过升舱</t>
  </si>
  <si>
    <t>has_purchased_upgrade</t>
  </si>
  <si>
    <t>升舱购买频次</t>
  </si>
  <si>
    <t>upgrade_frequency</t>
  </si>
  <si>
    <t>近12个月升舱次数</t>
  </si>
  <si>
    <t>升舱类型偏好</t>
  </si>
  <si>
    <t>upgrade_type_preference</t>
  </si>
  <si>
    <t>地面升舱/空中升舱/积分升舱</t>
  </si>
  <si>
    <t>是否购买过额外行李</t>
  </si>
  <si>
    <t>has_purchased_extra_baggage</t>
  </si>
  <si>
    <t>C/D</t>
  </si>
  <si>
    <t>是否使用过Wi-Fi服务</t>
  </si>
  <si>
    <t>has_used_wifi</t>
  </si>
  <si>
    <t>Wi-Fi使用频次</t>
  </si>
  <si>
    <t>wifi_usage_frequency</t>
  </si>
  <si>
    <t>近12个月Wi-Fi使用次数</t>
  </si>
  <si>
    <t>是否使用过贵宾室</t>
  </si>
  <si>
    <t>has_used_lounge</t>
  </si>
  <si>
    <t>贵宾室使用频次</t>
  </si>
  <si>
    <t>lounge_usage_frequency</t>
  </si>
  <si>
    <t>近12个月贵宾室使用次数</t>
  </si>
  <si>
    <t>是否购买过接送机</t>
  </si>
  <si>
    <t>has_purchased_transfer</t>
  </si>
  <si>
    <t>是否预订过酒店</t>
  </si>
  <si>
    <t>has_booked_hotel</t>
  </si>
  <si>
    <t>是否租用过车辆</t>
  </si>
  <si>
    <t>has_rented_car</t>
  </si>
  <si>
    <t>辅营服务消费偏好</t>
  </si>
  <si>
    <t>ancillary_preference</t>
  </si>
  <si>
    <t>升舱/行李/Wi-Fi/贵宾室/接送机/酒店/租车/无</t>
  </si>
  <si>
    <t>订票渠道偏好</t>
  </si>
  <si>
    <t>booking_channel_preference</t>
  </si>
  <si>
    <t>App/官网/小程序/OTA/线下柜台/企业差旅平台</t>
  </si>
  <si>
    <t>App使用频次</t>
  </si>
  <si>
    <t>app_usage_frequency</t>
  </si>
  <si>
    <t>高频(日均≥3次)/中频(日均1-2次)/低频(周均&lt;1次)/从未使用</t>
  </si>
  <si>
    <t>A/B/C</t>
  </si>
  <si>
    <t>东航购票占比</t>
  </si>
  <si>
    <t>cea_booking_ratio</t>
  </si>
  <si>
    <t>近12个月东航购票量/总购票量</t>
  </si>
  <si>
    <t>是否关注东航社交媒体</t>
  </si>
  <si>
    <t>follows_social_media</t>
  </si>
  <si>
    <t>系统记录/用户填写</t>
  </si>
  <si>
    <t>C/D/E</t>
  </si>
  <si>
    <t>常关注的社交媒体平台</t>
  </si>
  <si>
    <t>social_media_platforms</t>
  </si>
  <si>
    <t>微信/微博/抖音/小红书/无</t>
  </si>
  <si>
    <t>四、价值与忠诚</t>
  </si>
  <si>
    <t>当前会员等级</t>
  </si>
  <si>
    <t>member_tier</t>
  </si>
  <si>
    <t>系统维护</t>
  </si>
  <si>
    <t>终身白金/白金/金/银/尊享金/尊享银/普卡</t>
  </si>
  <si>
    <t>年度/实时</t>
  </si>
  <si>
    <t>会员等级有效期</t>
  </si>
  <si>
    <t>tier_expiry</t>
  </si>
  <si>
    <t>累计消费金额</t>
  </si>
  <si>
    <t>total_spend</t>
  </si>
  <si>
    <t>历史总购票金额（元）</t>
  </si>
  <si>
    <t>年消费金额</t>
  </si>
  <si>
    <t>annual_spend</t>
  </si>
  <si>
    <t>近12个月购票金额（元）</t>
  </si>
  <si>
    <t>累计消费积分</t>
  </si>
  <si>
    <t>total_points</t>
  </si>
  <si>
    <t>历史累计积分</t>
  </si>
  <si>
    <t>可用积分余额</t>
  </si>
  <si>
    <t>available_points</t>
  </si>
  <si>
    <t>当前可用积分</t>
  </si>
  <si>
    <t>入会时长（月）</t>
  </si>
  <si>
    <t>membership_months</t>
  </si>
  <si>
    <t>注册至今月份数</t>
  </si>
  <si>
    <t>L值（忠诚度）</t>
  </si>
  <si>
    <t>loyalty_score</t>
  </si>
  <si>
    <t>0-1分</t>
  </si>
  <si>
    <t>R值（最近消费）</t>
  </si>
  <si>
    <t>recency_days</t>
  </si>
  <si>
    <t>距最近一次飞行天数</t>
  </si>
  <si>
    <t>F值（消费频率）</t>
  </si>
  <si>
    <t>frequency_score</t>
  </si>
  <si>
    <t>年飞行次数归一化</t>
  </si>
  <si>
    <t>M值（消费金额）</t>
  </si>
  <si>
    <t>monetary_score</t>
  </si>
  <si>
    <t>年消费金额归一化</t>
  </si>
  <si>
    <t>C值（消费行为）</t>
  </si>
  <si>
    <t>behavior_score</t>
  </si>
  <si>
    <t>基于舱位和附加服务消费结构</t>
  </si>
  <si>
    <t>客户矩阵分类</t>
  </si>
  <si>
    <t>customer_matrix</t>
  </si>
  <si>
    <t>挚友型/蝴蝶型/藤壶型/陌生型</t>
  </si>
  <si>
    <t>五、实时意向</t>
  </si>
  <si>
    <t>当前会话ID</t>
  </si>
  <si>
    <t>session_id</t>
  </si>
  <si>
    <t>每次访问唯一标识</t>
  </si>
  <si>
    <t>访问时间</t>
  </si>
  <si>
    <t>visit_timestamp</t>
  </si>
  <si>
    <t>时间戳</t>
  </si>
  <si>
    <t>系统采集</t>
  </si>
  <si>
    <t>当前访问时间</t>
  </si>
  <si>
    <t>访问来源</t>
  </si>
  <si>
    <t>visit_source</t>
  </si>
  <si>
    <t>App/官网/小程序/其他</t>
  </si>
  <si>
    <t>设备类型</t>
  </si>
  <si>
    <t>device_type</t>
  </si>
  <si>
    <t>iOS/Android/PC/其他</t>
  </si>
  <si>
    <t>搜索关键词</t>
  </si>
  <si>
    <t>search_keywords</t>
  </si>
  <si>
    <t>文本</t>
  </si>
  <si>
    <t>用户输入的搜索词</t>
  </si>
  <si>
    <t>搜索目的地</t>
  </si>
  <si>
    <t>search_destination</t>
  </si>
  <si>
    <t>从关键词中提取的目的地</t>
  </si>
  <si>
    <t>搜索日期范围</t>
  </si>
  <si>
    <t>search_date_range</t>
  </si>
  <si>
    <t>用户选择的出行日期范围</t>
  </si>
  <si>
    <t>搜索价格区间</t>
  </si>
  <si>
    <t>search_price_range</t>
  </si>
  <si>
    <t>用户筛选的价格范围</t>
  </si>
  <si>
    <t>搜索客舱等级</t>
  </si>
  <si>
    <t>search_cabin</t>
  </si>
  <si>
    <t>用户筛选的舱位等级</t>
  </si>
  <si>
    <t>搜索频次（近24小时）</t>
  </si>
  <si>
    <t>search_frequency_24h</t>
  </si>
  <si>
    <t>近24小时搜索次数</t>
  </si>
  <si>
    <t>搜索频次（近7天）</t>
  </si>
  <si>
    <t>search_frequency_7d</t>
  </si>
  <si>
    <t>近7天搜索次数</t>
  </si>
  <si>
    <t>浏览目的地页面</t>
  </si>
  <si>
    <t>browsed_destinations</t>
  </si>
  <si>
    <t>多选文本</t>
  </si>
  <si>
    <t>浏览过的目的地介绍页</t>
  </si>
  <si>
    <t>C/E</t>
  </si>
  <si>
    <t>浏览航班详情</t>
  </si>
  <si>
    <t>browsed_flights</t>
  </si>
  <si>
    <t>浏览过的航班详情</t>
  </si>
  <si>
    <t>浏览酒店详情</t>
  </si>
  <si>
    <t>browsed_hotels</t>
  </si>
  <si>
    <t>浏览过的酒店/住宿页</t>
  </si>
  <si>
    <t>浏览旅游攻略</t>
  </si>
  <si>
    <t>browsed_guides</t>
  </si>
  <si>
    <t>浏览过的攻略/游记页</t>
  </si>
  <si>
    <t>收藏/关注目的地</t>
  </si>
  <si>
    <t>saved_destinations</t>
  </si>
  <si>
    <t>用户收藏的目的地</t>
  </si>
  <si>
    <t>点击营销内容</t>
  </si>
  <si>
    <t>clicked_promotions</t>
  </si>
  <si>
    <t>用户点击的营销活动ID</t>
  </si>
  <si>
    <t>当前出行意向</t>
  </si>
  <si>
    <t>current_intent</t>
  </si>
  <si>
    <t>有明确目的地/有出行意图(目的地未定)/无明确出行意图</t>
  </si>
  <si>
    <t>意向目的地</t>
  </si>
  <si>
    <t>intent_destination</t>
  </si>
  <si>
    <t>当前最可能出行目的地</t>
  </si>
  <si>
    <t>意向出行日期</t>
  </si>
  <si>
    <t>intent_travel_date</t>
  </si>
  <si>
    <t>预测的最可能出行日期</t>
  </si>
  <si>
    <t>决策阶段</t>
  </si>
  <si>
    <t>decision_stage</t>
  </si>
  <si>
    <t>种草期/比价期/决策期/临近期</t>
  </si>
  <si>
    <t>意向置信度</t>
  </si>
  <si>
    <t>intent_confidence</t>
  </si>
  <si>
    <t>0-1之间</t>
  </si>
  <si>
    <t>外部意向信号</t>
  </si>
  <si>
    <t>external_intent_signals</t>
  </si>
  <si>
    <t>外部数据接入</t>
  </si>
  <si>
    <t>旅游搜索引擎搜索/社交媒体话题关注/目的地酒店/景区搜索</t>
  </si>
  <si>
    <t>小时级</t>
  </si>
  <si>
    <t>六、画像分类结果</t>
  </si>
  <si>
    <t>画像类型</t>
  </si>
  <si>
    <t>persona_type</t>
  </si>
  <si>
    <t>系统自动分类</t>
  </si>
  <si>
    <t>A.核心商务精英/B.商务常旅客/C.休闲度假客/D.高价值散客/E.价格狩猎者/F.沉睡唤醒群</t>
  </si>
  <si>
    <t>画像类型置信度</t>
  </si>
  <si>
    <t>persona_confidence</t>
  </si>
  <si>
    <t>营销优先级</t>
  </si>
  <si>
    <t>marketing_priority</t>
  </si>
  <si>
    <t>⭐⭐⭐⭐⭐/⭐⭐⭐⭐/⭐⭐⭐/⭐⭐</t>
  </si>
  <si>
    <t>推荐营销策略</t>
  </si>
  <si>
    <t>recommended_strategy</t>
  </si>
  <si>
    <t>系统推荐</t>
  </si>
  <si>
    <t>系统根据画像类型自动生成</t>
  </si>
  <si>
    <t>主画像</t>
  </si>
  <si>
    <t>子类型</t>
  </si>
  <si>
    <t>代码</t>
  </si>
  <si>
    <t>画像归属</t>
  </si>
  <si>
    <t>占比（主画像内）</t>
  </si>
  <si>
    <t>判定维度</t>
  </si>
  <si>
    <t>采集字段</t>
  </si>
  <si>
    <t>判定阈值/条件</t>
  </si>
  <si>
    <t>数据来源</t>
  </si>
  <si>
    <t>最匹配营销产品</t>
  </si>
  <si>
    <t>建议触达渠道</t>
  </si>
  <si>
    <t>A.核心商务精英</t>
  </si>
  <si>
    <t>京沪快线型</t>
  </si>
  <si>
    <t>A1</t>
  </si>
  <si>
    <t>To B</t>
  </si>
  <si>
    <t>航线偏好</t>
  </si>
  <si>
    <t>京沪快线时刻表+贵宾室</t>
  </si>
  <si>
    <t>App推送+贵宾室专属</t>
  </si>
  <si>
    <t>出行时段</t>
  </si>
  <si>
    <t>= 早班(6-9点)</t>
  </si>
  <si>
    <t>决策习惯</t>
  </si>
  <si>
    <t>订票记录</t>
  </si>
  <si>
    <t>辅营偏好</t>
  </si>
  <si>
    <t>国际航线型</t>
  </si>
  <si>
    <t>A2</t>
  </si>
  <si>
    <t>≥ 70%</t>
  </si>
  <si>
    <t>舱位记录</t>
  </si>
  <si>
    <t>国际两舱套票+免费中转住宿</t>
  </si>
  <si>
    <t>App推送+95530专属</t>
  </si>
  <si>
    <t>到达机场</t>
  </si>
  <si>
    <t>∈ 境外机场</t>
  </si>
  <si>
    <t>积分高净值型</t>
  </si>
  <si>
    <t>A3</t>
  </si>
  <si>
    <t>To C</t>
  </si>
  <si>
    <t>积分余额</t>
  </si>
  <si>
    <t>≥ 100000</t>
  </si>
  <si>
    <t>会员系统</t>
  </si>
  <si>
    <t>积分升舱+积分兑换酒店</t>
  </si>
  <si>
    <t>邮件+App推送</t>
  </si>
  <si>
    <t>会员等级</t>
  </si>
  <si>
    <t>∈ {终身白金, 白金}</t>
  </si>
  <si>
    <t>≥ 20万元</t>
  </si>
  <si>
    <t>消费记录</t>
  </si>
  <si>
    <t>包含"酒店"或"升舱"</t>
  </si>
  <si>
    <t>B.商务常旅客</t>
  </si>
  <si>
    <t>企业差旅型</t>
  </si>
  <si>
    <t>B1</t>
  </si>
  <si>
    <t>订票渠道</t>
  </si>
  <si>
    <t>SME企业专区+企业专属运价</t>
  </si>
  <si>
    <t>企业差旅平台+邮件</t>
  </si>
  <si>
    <t>20-40次</t>
  </si>
  <si>
    <t>航班记录</t>
  </si>
  <si>
    <t>灵活商务型</t>
  </si>
  <si>
    <t>B2</t>
  </si>
  <si>
    <t>∈ {App, OTA}</t>
  </si>
  <si>
    <t>易享退+Wi-Fi会员权益</t>
  </si>
  <si>
    <t>App推送+邮件</t>
  </si>
  <si>
    <t>15-35次</t>
  </si>
  <si>
    <t>升舱记录</t>
  </si>
  <si>
    <t>价格敏感度</t>
  </si>
  <si>
    <t>price_sensitivity</t>
  </si>
  <si>
    <t>区域商务型</t>
  </si>
  <si>
    <t>B3</t>
  </si>
  <si>
    <t>出发机场</t>
  </si>
  <si>
    <t>∈ 区域枢纽</t>
  </si>
  <si>
    <t>区域通+多航段套票</t>
  </si>
  <si>
    <t>官网+邮件</t>
  </si>
  <si>
    <t>15-25次</t>
  </si>
  <si>
    <t>出行目的</t>
  </si>
  <si>
    <t>= 8-15天</t>
  </si>
  <si>
    <t>C.休闲度假客</t>
  </si>
  <si>
    <t>亲子家庭型</t>
  </si>
  <si>
    <t>C1</t>
  </si>
  <si>
    <t>随行特征</t>
  </si>
  <si>
    <t>家庭套餐+行李门到门</t>
  </si>
  <si>
    <t>社交媒体+App推送</t>
  </si>
  <si>
    <t>出行方式</t>
  </si>
  <si>
    <t>浏览内容</t>
  </si>
  <si>
    <t>包含"主题乐园/海边"</t>
  </si>
  <si>
    <t>实时行为</t>
  </si>
  <si>
    <t>银发族型</t>
  </si>
  <si>
    <t>C2</t>
  </si>
  <si>
    <t>年龄</t>
  </si>
  <si>
    <t>age</t>
  </si>
  <si>
    <t>≥ 60岁</t>
  </si>
  <si>
    <t>证件信息</t>
  </si>
  <si>
    <t>银翼长者专属运价+接送机</t>
  </si>
  <si>
    <t>短信+邮件</t>
  </si>
  <si>
    <t>职业</t>
  </si>
  <si>
    <t>∈ {家庭(含老人), 团队}</t>
  </si>
  <si>
    <t>= &gt;30天</t>
  </si>
  <si>
    <t>年轻情侣型</t>
  </si>
  <si>
    <t>C3</t>
  </si>
  <si>
    <t>18-35岁</t>
  </si>
  <si>
    <t>网红目的地攻略+AIGC短视频</t>
  </si>
  <si>
    <t>社交媒体(抖音/小红书)</t>
  </si>
  <si>
    <t>∈ {情侣, 独自}</t>
  </si>
  <si>
    <t>社交媒体</t>
  </si>
  <si>
    <t>包含"网红/小众目的地"</t>
  </si>
  <si>
    <t>深度自由行型</t>
  </si>
  <si>
    <t>C4</t>
  </si>
  <si>
    <t>浏览行为</t>
  </si>
  <si>
    <t>机+酒套餐+千问AI行程规划</t>
  </si>
  <si>
    <t>App+邮件</t>
  </si>
  <si>
    <t>酒店预订</t>
  </si>
  <si>
    <t>外部信号</t>
  </si>
  <si>
    <t>包含"旅游搜索引擎"</t>
  </si>
  <si>
    <t>外部数据</t>
  </si>
  <si>
    <t>D.高价值散客</t>
  </si>
  <si>
    <t>品质体验型</t>
  </si>
  <si>
    <t>D1</t>
  </si>
  <si>
    <t>∈ {高端经济舱, 公务舱}</t>
  </si>
  <si>
    <t>两舱体验日+升舱限时优惠</t>
  </si>
  <si>
    <t>邮件+社交媒体</t>
  </si>
  <si>
    <t>5-12次</t>
  </si>
  <si>
    <t>异业联名型</t>
  </si>
  <si>
    <t>D2</t>
  </si>
  <si>
    <t>星巴克/华住会联名+千问AI引流券</t>
  </si>
  <si>
    <t>社交媒体+邮件</t>
  </si>
  <si>
    <t>包含"酒店"</t>
  </si>
  <si>
    <t>包含"社交媒体旅游话题"</t>
  </si>
  <si>
    <t>节日脉冲型</t>
  </si>
  <si>
    <t>D3</t>
  </si>
  <si>
    <t>节假日早鸟预订+家庭两舱套票</t>
  </si>
  <si>
    <t>3-8次</t>
  </si>
  <si>
    <t>3-8万元</t>
  </si>
  <si>
    <t>= 16-30天</t>
  </si>
  <si>
    <t>E.价格狩猎者</t>
  </si>
  <si>
    <t>学生特价型</t>
  </si>
  <si>
    <t>E1</t>
  </si>
  <si>
    <t>学生专享运价+寒暑假特价</t>
  </si>
  <si>
    <t>小程序+社交媒体</t>
  </si>
  <si>
    <t>18-25岁</t>
  </si>
  <si>
    <t>1-4次</t>
  </si>
  <si>
    <t>大促跟随型</t>
  </si>
  <si>
    <t>E2</t>
  </si>
  <si>
    <t>大促特价+限时秒杀+淡季填仓</t>
  </si>
  <si>
    <t>小程序+短信</t>
  </si>
  <si>
    <t>2-5次</t>
  </si>
  <si>
    <t>∈ {小程序, OTA}</t>
  </si>
  <si>
    <t>≤ 1.5万元</t>
  </si>
  <si>
    <t>F.沉睡唤醒群</t>
  </si>
  <si>
    <t>高价值沉睡型</t>
  </si>
  <si>
    <t>F1</t>
  </si>
  <si>
    <t>历史会员等级</t>
  </si>
  <si>
    <r>
      <t>member_tier</t>
    </r>
    <r>
      <rPr>
        <sz val="12"/>
        <color rgb="FF0F1115"/>
        <rFont val="var(--dsw-font-markdown-table)"/>
        <charset val="134"/>
      </rPr>
      <t>（历史）</t>
    </r>
  </si>
  <si>
    <t>∈ {金, 银}</t>
  </si>
  <si>
    <t>专属回归优惠+客户经理主动联系</t>
  </si>
  <si>
    <t>电话+邮件+短信</t>
  </si>
  <si>
    <t>≥ 5万元</t>
  </si>
  <si>
    <t>距上次飞行</t>
  </si>
  <si>
    <t>≥ 180天</t>
  </si>
  <si>
    <t>历史忠诚度</t>
  </si>
  <si>
    <r>
      <t>loyalty_score</t>
    </r>
    <r>
      <rPr>
        <sz val="12"/>
        <color rgb="FF0F1115"/>
        <rFont val="var(--dsw-font-markdown-table)"/>
        <charset val="134"/>
      </rPr>
      <t>（历史）</t>
    </r>
  </si>
  <si>
    <t>≥ 0.6</t>
  </si>
  <si>
    <t>LRFMC计算</t>
  </si>
  <si>
    <t>自然休眠型</t>
  </si>
  <si>
    <t>F2</t>
  </si>
  <si>
    <t>通用优惠券+旅游内容种草</t>
  </si>
  <si>
    <t>邮件+短信</t>
  </si>
  <si>
    <t>≤ 3万元</t>
  </si>
  <si>
    <t>≥ 365天</t>
  </si>
  <si>
    <t>当前意向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</si>
</sst>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2"/>
      <color rgb="FF0F1115"/>
      <name val="var(--dsw-font-markdown-table-h"/>
      <charset val="134"/>
    </font>
    <font>
      <sz val="12"/>
      <color rgb="FF0F1115"/>
      <name val="var(--dsw-font-markdown-table)"/>
      <charset val="134"/>
    </font>
    <font>
      <sz val="9.75"/>
      <color rgb="FF0F1115"/>
      <name val="var(--ds-font-family-code)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3" borderId="5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6">
      <alignment vertical="center"/>
    </xf>
    <xf numFmtId="0" fontId="10" fillId="0" borderId="6">
      <alignment vertical="center"/>
    </xf>
    <xf numFmtId="0" fontId="11" fillId="0" borderId="7">
      <alignment vertical="center"/>
    </xf>
    <xf numFmtId="0" fontId="11" fillId="0" borderId="0">
      <alignment vertical="center"/>
    </xf>
    <xf numFmtId="0" fontId="12" fillId="4" borderId="8">
      <alignment vertical="center"/>
    </xf>
    <xf numFmtId="0" fontId="13" fillId="5" borderId="9">
      <alignment vertical="center"/>
    </xf>
    <xf numFmtId="0" fontId="14" fillId="5" borderId="8">
      <alignment vertical="center"/>
    </xf>
    <xf numFmtId="0" fontId="15" fillId="6" borderId="10">
      <alignment vertical="center"/>
    </xf>
    <xf numFmtId="0" fontId="16" fillId="0" borderId="11">
      <alignment vertical="center"/>
    </xf>
    <xf numFmtId="0" fontId="17" fillId="0" borderId="12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2" fillId="11" borderId="0">
      <alignment vertical="center"/>
    </xf>
    <xf numFmtId="0" fontId="22" fillId="12" borderId="0">
      <alignment vertical="center"/>
    </xf>
    <xf numFmtId="0" fontId="21" fillId="13" borderId="0">
      <alignment vertical="center"/>
    </xf>
    <xf numFmtId="0" fontId="21" fillId="14" borderId="0">
      <alignment vertical="center"/>
    </xf>
    <xf numFmtId="0" fontId="22" fillId="15" borderId="0">
      <alignment vertical="center"/>
    </xf>
    <xf numFmtId="0" fontId="22" fillId="16" borderId="0">
      <alignment vertical="center"/>
    </xf>
    <xf numFmtId="0" fontId="21" fillId="17" borderId="0">
      <alignment vertical="center"/>
    </xf>
    <xf numFmtId="0" fontId="21" fillId="18" borderId="0">
      <alignment vertical="center"/>
    </xf>
    <xf numFmtId="0" fontId="22" fillId="19" borderId="0">
      <alignment vertical="center"/>
    </xf>
    <xf numFmtId="0" fontId="22" fillId="20" borderId="0">
      <alignment vertical="center"/>
    </xf>
    <xf numFmtId="0" fontId="21" fillId="21" borderId="0">
      <alignment vertical="center"/>
    </xf>
    <xf numFmtId="0" fontId="21" fillId="22" borderId="0">
      <alignment vertical="center"/>
    </xf>
    <xf numFmtId="0" fontId="22" fillId="23" borderId="0">
      <alignment vertical="center"/>
    </xf>
    <xf numFmtId="0" fontId="22" fillId="24" borderId="0">
      <alignment vertical="center"/>
    </xf>
    <xf numFmtId="0" fontId="21" fillId="25" borderId="0">
      <alignment vertical="center"/>
    </xf>
    <xf numFmtId="0" fontId="21" fillId="26" borderId="0">
      <alignment vertical="center"/>
    </xf>
    <xf numFmtId="0" fontId="22" fillId="27" borderId="0">
      <alignment vertical="center"/>
    </xf>
    <xf numFmtId="0" fontId="22" fillId="28" borderId="0">
      <alignment vertical="center"/>
    </xf>
    <xf numFmtId="0" fontId="21" fillId="29" borderId="0">
      <alignment vertical="center"/>
    </xf>
    <xf numFmtId="0" fontId="21" fillId="30" borderId="0">
      <alignment vertical="center"/>
    </xf>
    <xf numFmtId="0" fontId="22" fillId="31" borderId="0">
      <alignment vertical="center"/>
    </xf>
    <xf numFmtId="0" fontId="22" fillId="32" borderId="0">
      <alignment vertical="center"/>
    </xf>
    <xf numFmtId="0" fontId="21" fillId="33" borderId="0">
      <alignment vertical="center"/>
    </xf>
  </cellStyleXfs>
  <cellXfs count="18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9" fontId="2" fillId="2" borderId="2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2" fillId="2" borderId="3" xfId="0" applyFont="1" applyFill="1" applyBorder="1" applyAlignment="1">
      <alignment horizontal="center" vertical="center" wrapText="1"/>
    </xf>
    <xf numFmtId="9" fontId="2" fillId="2" borderId="3" xfId="0" applyNumberFormat="1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9" fontId="2" fillId="2" borderId="4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vertical="center" wrapText="1"/>
    </xf>
    <xf numFmtId="9" fontId="2" fillId="2" borderId="2" xfId="0" applyNumberFormat="1" applyFont="1" applyFill="1" applyBorder="1" applyAlignment="1">
      <alignment vertical="center" wrapText="1"/>
    </xf>
    <xf numFmtId="0" fontId="2" fillId="2" borderId="3" xfId="0" applyFont="1" applyFill="1" applyBorder="1" applyAlignment="1">
      <alignment vertical="center" wrapText="1"/>
    </xf>
    <xf numFmtId="9" fontId="2" fillId="2" borderId="3" xfId="0" applyNumberFormat="1" applyFont="1" applyFill="1" applyBorder="1" applyAlignment="1">
      <alignment vertical="center" wrapText="1"/>
    </xf>
    <xf numFmtId="0" fontId="2" fillId="2" borderId="4" xfId="0" applyFont="1" applyFill="1" applyBorder="1" applyAlignment="1">
      <alignment vertical="center" wrapText="1"/>
    </xf>
    <xf numFmtId="9" fontId="2" fillId="2" borderId="4" xfId="0" applyNumberFormat="1" applyFont="1" applyFill="1" applyBorder="1" applyAlignment="1">
      <alignment vertical="center" wrapText="1"/>
    </xf>
    <xf numFmtId="0" fontId="0" fillId="2" borderId="1" xfId="0" applyFill="1" applyBorder="1">
      <alignment vertical="center"/>
    </xf>
    <xf numFmtId="0" fontId="0" fillId="0" borderId="1" xfId="0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3"/>
  <sheetViews>
    <sheetView workbookViewId="0">
      <selection activeCell="E10" sqref="E10"/>
    </sheetView>
  </sheetViews>
  <sheetFormatPr defaultColWidth="9" defaultRowHeight="13.5"/>
  <cols>
    <col min="1" max="1" width="14.5" customWidth="1"/>
    <col min="2" max="2" width="19.125" customWidth="1"/>
    <col min="3" max="3" width="18.25" customWidth="1"/>
    <col min="4" max="4" width="15.375" customWidth="1"/>
    <col min="5" max="5" width="18.5" customWidth="1"/>
    <col min="7" max="7" width="27.375" customWidth="1"/>
    <col min="8" max="8" width="13.75" customWidth="1"/>
    <col min="9" max="9" width="18.25" customWidth="1"/>
  </cols>
  <sheetData>
    <row r="1" ht="30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28.5" spans="1:9">
      <c r="A2" s="4" t="s">
        <v>9</v>
      </c>
      <c r="B2" s="4"/>
      <c r="C2" s="4"/>
      <c r="D2" s="4"/>
      <c r="E2" s="4"/>
      <c r="F2" s="4"/>
      <c r="G2" s="4"/>
      <c r="H2" s="4"/>
      <c r="I2" s="4"/>
    </row>
    <row r="3" ht="30" spans="1:9">
      <c r="A3" s="4"/>
      <c r="B3" s="4" t="s">
        <v>10</v>
      </c>
      <c r="C3" s="4" t="s">
        <v>11</v>
      </c>
      <c r="D3" s="4" t="s">
        <v>12</v>
      </c>
      <c r="E3" s="4" t="s">
        <v>13</v>
      </c>
      <c r="F3" s="4" t="s">
        <v>14</v>
      </c>
      <c r="G3" s="4" t="s">
        <v>15</v>
      </c>
      <c r="H3" s="4" t="s">
        <v>16</v>
      </c>
      <c r="I3" s="4" t="s">
        <v>17</v>
      </c>
    </row>
    <row r="4" ht="15" spans="1:9">
      <c r="A4" s="4"/>
      <c r="B4" s="4" t="s">
        <v>18</v>
      </c>
      <c r="C4" s="4" t="s">
        <v>19</v>
      </c>
      <c r="D4" s="4" t="s">
        <v>12</v>
      </c>
      <c r="E4" s="4" t="s">
        <v>20</v>
      </c>
      <c r="F4" s="4" t="s">
        <v>14</v>
      </c>
      <c r="G4" s="4" t="s">
        <v>21</v>
      </c>
      <c r="H4" s="4" t="s">
        <v>16</v>
      </c>
      <c r="I4" s="4" t="s">
        <v>17</v>
      </c>
    </row>
    <row r="5" ht="43.5" spans="1:9">
      <c r="A5" s="4"/>
      <c r="B5" s="4" t="s">
        <v>22</v>
      </c>
      <c r="C5" s="4" t="s">
        <v>23</v>
      </c>
      <c r="D5" s="4" t="s">
        <v>24</v>
      </c>
      <c r="E5" s="4" t="s">
        <v>25</v>
      </c>
      <c r="F5" s="4" t="s">
        <v>14</v>
      </c>
      <c r="G5" s="4" t="s">
        <v>26</v>
      </c>
      <c r="H5" s="4" t="s">
        <v>16</v>
      </c>
      <c r="I5" s="4" t="s">
        <v>17</v>
      </c>
    </row>
    <row r="6" ht="30" spans="1:9">
      <c r="A6" s="4"/>
      <c r="B6" s="4" t="s">
        <v>27</v>
      </c>
      <c r="C6" s="4" t="s">
        <v>28</v>
      </c>
      <c r="D6" s="4" t="s">
        <v>29</v>
      </c>
      <c r="E6" s="4" t="s">
        <v>30</v>
      </c>
      <c r="F6" s="4" t="s">
        <v>14</v>
      </c>
      <c r="G6" s="4" t="s">
        <v>31</v>
      </c>
      <c r="H6" s="4" t="s">
        <v>16</v>
      </c>
      <c r="I6" s="4" t="s">
        <v>17</v>
      </c>
    </row>
    <row r="7" ht="42.75" spans="1:9">
      <c r="A7" s="4"/>
      <c r="B7" s="4" t="s">
        <v>32</v>
      </c>
      <c r="C7" s="4" t="s">
        <v>33</v>
      </c>
      <c r="D7" s="4" t="s">
        <v>24</v>
      </c>
      <c r="E7" s="4" t="s">
        <v>30</v>
      </c>
      <c r="F7" s="4" t="s">
        <v>14</v>
      </c>
      <c r="G7" s="4" t="s">
        <v>34</v>
      </c>
      <c r="H7" s="4" t="s">
        <v>16</v>
      </c>
      <c r="I7" s="4" t="s">
        <v>17</v>
      </c>
    </row>
    <row r="8" ht="58.5" spans="1:9">
      <c r="A8" s="4"/>
      <c r="B8" s="4" t="s">
        <v>35</v>
      </c>
      <c r="C8" s="4" t="s">
        <v>36</v>
      </c>
      <c r="D8" s="4" t="s">
        <v>24</v>
      </c>
      <c r="E8" s="4" t="s">
        <v>30</v>
      </c>
      <c r="F8" s="4" t="s">
        <v>14</v>
      </c>
      <c r="G8" s="4" t="s">
        <v>37</v>
      </c>
      <c r="H8" s="4" t="s">
        <v>16</v>
      </c>
      <c r="I8" s="4" t="s">
        <v>17</v>
      </c>
    </row>
    <row r="9" ht="30" spans="1:9">
      <c r="A9" s="4"/>
      <c r="B9" s="4" t="s">
        <v>38</v>
      </c>
      <c r="C9" s="4" t="s">
        <v>39</v>
      </c>
      <c r="D9" s="4" t="s">
        <v>12</v>
      </c>
      <c r="E9" s="4" t="s">
        <v>30</v>
      </c>
      <c r="F9" s="4" t="s">
        <v>14</v>
      </c>
      <c r="G9" s="4" t="s">
        <v>21</v>
      </c>
      <c r="H9" s="4" t="s">
        <v>16</v>
      </c>
      <c r="I9" s="4" t="s">
        <v>17</v>
      </c>
    </row>
    <row r="10" ht="57.75" spans="1:9">
      <c r="A10" s="4"/>
      <c r="B10" s="4" t="s">
        <v>40</v>
      </c>
      <c r="C10" s="4" t="s">
        <v>41</v>
      </c>
      <c r="D10" s="4" t="s">
        <v>24</v>
      </c>
      <c r="E10" s="4" t="s">
        <v>42</v>
      </c>
      <c r="F10" s="4" t="s">
        <v>14</v>
      </c>
      <c r="G10" s="4" t="s">
        <v>43</v>
      </c>
      <c r="H10" s="4" t="s">
        <v>44</v>
      </c>
      <c r="I10" s="4" t="s">
        <v>17</v>
      </c>
    </row>
    <row r="11" ht="42.75" spans="1:9">
      <c r="A11" s="4"/>
      <c r="B11" s="4" t="s">
        <v>45</v>
      </c>
      <c r="C11" s="4" t="s">
        <v>46</v>
      </c>
      <c r="D11" s="4" t="s">
        <v>24</v>
      </c>
      <c r="E11" s="4" t="s">
        <v>42</v>
      </c>
      <c r="F11" s="4" t="s">
        <v>14</v>
      </c>
      <c r="G11" s="4" t="s">
        <v>47</v>
      </c>
      <c r="H11" s="4" t="s">
        <v>44</v>
      </c>
      <c r="I11" s="4" t="s">
        <v>17</v>
      </c>
    </row>
    <row r="12" ht="15" spans="1:9">
      <c r="A12" s="4"/>
      <c r="B12" s="4" t="s">
        <v>48</v>
      </c>
      <c r="C12" s="4" t="s">
        <v>49</v>
      </c>
      <c r="D12" s="4" t="s">
        <v>12</v>
      </c>
      <c r="E12" s="4" t="s">
        <v>20</v>
      </c>
      <c r="F12" s="4" t="s">
        <v>14</v>
      </c>
      <c r="G12" s="4" t="s">
        <v>50</v>
      </c>
      <c r="H12" s="4" t="s">
        <v>16</v>
      </c>
      <c r="I12" s="4" t="s">
        <v>17</v>
      </c>
    </row>
    <row r="13" ht="15" spans="1:9">
      <c r="A13" s="4"/>
      <c r="B13" s="4" t="s">
        <v>51</v>
      </c>
      <c r="C13" s="4" t="s">
        <v>52</v>
      </c>
      <c r="D13" s="4" t="s">
        <v>12</v>
      </c>
      <c r="E13" s="4" t="s">
        <v>20</v>
      </c>
      <c r="F13" s="4" t="s">
        <v>14</v>
      </c>
      <c r="G13" s="4" t="s">
        <v>53</v>
      </c>
      <c r="H13" s="4" t="s">
        <v>16</v>
      </c>
      <c r="I13" s="4" t="s">
        <v>17</v>
      </c>
    </row>
    <row r="14" ht="59.25" spans="1:9">
      <c r="A14" s="4"/>
      <c r="B14" s="4" t="s">
        <v>54</v>
      </c>
      <c r="C14" s="4" t="s">
        <v>55</v>
      </c>
      <c r="D14" s="4" t="s">
        <v>24</v>
      </c>
      <c r="E14" s="4" t="s">
        <v>56</v>
      </c>
      <c r="F14" s="4" t="s">
        <v>14</v>
      </c>
      <c r="G14" s="4" t="s">
        <v>57</v>
      </c>
      <c r="H14" s="4" t="s">
        <v>16</v>
      </c>
      <c r="I14" s="4" t="s">
        <v>17</v>
      </c>
    </row>
    <row r="15" ht="59.25" spans="1:9">
      <c r="A15" s="4"/>
      <c r="B15" s="4" t="s">
        <v>58</v>
      </c>
      <c r="C15" s="4" t="s">
        <v>59</v>
      </c>
      <c r="D15" s="4" t="s">
        <v>24</v>
      </c>
      <c r="E15" s="4" t="s">
        <v>20</v>
      </c>
      <c r="F15" s="4" t="s">
        <v>60</v>
      </c>
      <c r="G15" s="4" t="s">
        <v>61</v>
      </c>
      <c r="H15" s="4" t="s">
        <v>62</v>
      </c>
      <c r="I15" s="4" t="s">
        <v>17</v>
      </c>
    </row>
    <row r="16" ht="119.25" spans="1:9">
      <c r="A16" s="4"/>
      <c r="B16" s="4" t="s">
        <v>63</v>
      </c>
      <c r="C16" s="4" t="s">
        <v>64</v>
      </c>
      <c r="D16" s="4" t="s">
        <v>24</v>
      </c>
      <c r="E16" s="4" t="s">
        <v>65</v>
      </c>
      <c r="F16" s="4" t="s">
        <v>60</v>
      </c>
      <c r="G16" s="4" t="s">
        <v>66</v>
      </c>
      <c r="H16" s="4" t="s">
        <v>44</v>
      </c>
      <c r="I16" s="4" t="s">
        <v>67</v>
      </c>
    </row>
    <row r="17" ht="57" spans="1:9">
      <c r="A17" s="4"/>
      <c r="B17" s="4" t="s">
        <v>68</v>
      </c>
      <c r="C17" s="4" t="s">
        <v>69</v>
      </c>
      <c r="D17" s="4" t="s">
        <v>24</v>
      </c>
      <c r="E17" s="4" t="s">
        <v>20</v>
      </c>
      <c r="F17" s="4" t="s">
        <v>60</v>
      </c>
      <c r="G17" s="4" t="s">
        <v>70</v>
      </c>
      <c r="H17" s="4" t="s">
        <v>62</v>
      </c>
      <c r="I17" s="4" t="s">
        <v>67</v>
      </c>
    </row>
    <row r="18" ht="180" spans="1:9">
      <c r="A18" s="4"/>
      <c r="B18" s="4" t="s">
        <v>71</v>
      </c>
      <c r="C18" s="4" t="s">
        <v>72</v>
      </c>
      <c r="D18" s="4" t="s">
        <v>24</v>
      </c>
      <c r="E18" s="4" t="s">
        <v>73</v>
      </c>
      <c r="F18" s="4" t="s">
        <v>60</v>
      </c>
      <c r="G18" s="4" t="s">
        <v>74</v>
      </c>
      <c r="H18" s="4" t="s">
        <v>44</v>
      </c>
      <c r="I18" s="4" t="s">
        <v>67</v>
      </c>
    </row>
    <row r="19" ht="28.5" spans="1:9">
      <c r="A19" s="4" t="s">
        <v>75</v>
      </c>
      <c r="B19" s="4"/>
      <c r="C19" s="4"/>
      <c r="D19" s="4"/>
      <c r="E19" s="4"/>
      <c r="F19" s="4"/>
      <c r="G19" s="4"/>
      <c r="H19" s="4"/>
      <c r="I19" s="4"/>
    </row>
    <row r="20" ht="30" spans="1:9">
      <c r="A20" s="4"/>
      <c r="B20" s="4" t="s">
        <v>76</v>
      </c>
      <c r="C20" s="4" t="s">
        <v>77</v>
      </c>
      <c r="D20" s="4" t="s">
        <v>29</v>
      </c>
      <c r="E20" s="4" t="s">
        <v>56</v>
      </c>
      <c r="F20" s="4" t="s">
        <v>78</v>
      </c>
      <c r="G20" s="4" t="s">
        <v>79</v>
      </c>
      <c r="H20" s="4" t="s">
        <v>16</v>
      </c>
      <c r="I20" s="4" t="s">
        <v>17</v>
      </c>
    </row>
    <row r="21" ht="30" spans="1:9">
      <c r="A21" s="4"/>
      <c r="B21" s="4" t="s">
        <v>80</v>
      </c>
      <c r="C21" s="4" t="s">
        <v>81</v>
      </c>
      <c r="D21" s="4" t="s">
        <v>82</v>
      </c>
      <c r="E21" s="4" t="s">
        <v>83</v>
      </c>
      <c r="F21" s="4" t="s">
        <v>78</v>
      </c>
      <c r="G21" s="4" t="s">
        <v>84</v>
      </c>
      <c r="H21" s="4" t="s">
        <v>85</v>
      </c>
      <c r="I21" s="4" t="s">
        <v>17</v>
      </c>
    </row>
    <row r="22" ht="30" spans="1:9">
      <c r="A22" s="4"/>
      <c r="B22" s="4" t="s">
        <v>86</v>
      </c>
      <c r="C22" s="4" t="s">
        <v>87</v>
      </c>
      <c r="D22" s="4" t="s">
        <v>82</v>
      </c>
      <c r="E22" s="4" t="s">
        <v>83</v>
      </c>
      <c r="F22" s="4" t="s">
        <v>78</v>
      </c>
      <c r="G22" s="4" t="s">
        <v>88</v>
      </c>
      <c r="H22" s="4" t="s">
        <v>85</v>
      </c>
      <c r="I22" s="4" t="s">
        <v>17</v>
      </c>
    </row>
    <row r="23" ht="45" spans="1:9">
      <c r="A23" s="4"/>
      <c r="B23" s="4" t="s">
        <v>89</v>
      </c>
      <c r="C23" s="4" t="s">
        <v>90</v>
      </c>
      <c r="D23" s="4" t="s">
        <v>91</v>
      </c>
      <c r="E23" s="4" t="s">
        <v>83</v>
      </c>
      <c r="F23" s="4" t="s">
        <v>78</v>
      </c>
      <c r="G23" s="4" t="s">
        <v>92</v>
      </c>
      <c r="H23" s="4" t="s">
        <v>85</v>
      </c>
      <c r="I23" s="4" t="s">
        <v>17</v>
      </c>
    </row>
    <row r="24" ht="42.75" spans="1:9">
      <c r="A24" s="4"/>
      <c r="B24" s="4" t="s">
        <v>93</v>
      </c>
      <c r="C24" s="4" t="s">
        <v>94</v>
      </c>
      <c r="D24" s="4" t="s">
        <v>82</v>
      </c>
      <c r="E24" s="4" t="s">
        <v>83</v>
      </c>
      <c r="F24" s="4" t="s">
        <v>78</v>
      </c>
      <c r="G24" s="4" t="s">
        <v>95</v>
      </c>
      <c r="H24" s="4" t="s">
        <v>85</v>
      </c>
      <c r="I24" s="4" t="s">
        <v>17</v>
      </c>
    </row>
    <row r="25" ht="30" spans="1:9">
      <c r="A25" s="4"/>
      <c r="B25" s="4" t="s">
        <v>96</v>
      </c>
      <c r="C25" s="4" t="s">
        <v>97</v>
      </c>
      <c r="D25" s="4" t="s">
        <v>82</v>
      </c>
      <c r="E25" s="4" t="s">
        <v>83</v>
      </c>
      <c r="F25" s="4" t="s">
        <v>78</v>
      </c>
      <c r="G25" s="4" t="s">
        <v>98</v>
      </c>
      <c r="H25" s="4" t="s">
        <v>85</v>
      </c>
      <c r="I25" s="4" t="s">
        <v>17</v>
      </c>
    </row>
    <row r="26" ht="30" spans="1:9">
      <c r="A26" s="4"/>
      <c r="B26" s="4" t="s">
        <v>99</v>
      </c>
      <c r="C26" s="4" t="s">
        <v>100</v>
      </c>
      <c r="D26" s="4" t="s">
        <v>29</v>
      </c>
      <c r="E26" s="4" t="s">
        <v>56</v>
      </c>
      <c r="F26" s="4" t="s">
        <v>78</v>
      </c>
      <c r="G26" s="4" t="s">
        <v>101</v>
      </c>
      <c r="H26" s="4" t="s">
        <v>85</v>
      </c>
      <c r="I26" s="4" t="s">
        <v>17</v>
      </c>
    </row>
    <row r="27" ht="58.5" spans="1:9">
      <c r="A27" s="4"/>
      <c r="B27" s="4" t="s">
        <v>102</v>
      </c>
      <c r="C27" s="4" t="s">
        <v>103</v>
      </c>
      <c r="D27" s="4" t="s">
        <v>82</v>
      </c>
      <c r="E27" s="4" t="s">
        <v>104</v>
      </c>
      <c r="F27" s="4" t="s">
        <v>78</v>
      </c>
      <c r="G27" s="4" t="s">
        <v>105</v>
      </c>
      <c r="H27" s="4" t="s">
        <v>85</v>
      </c>
      <c r="I27" s="4" t="s">
        <v>17</v>
      </c>
    </row>
    <row r="28" ht="45" spans="1:9">
      <c r="A28" s="4"/>
      <c r="B28" s="4" t="s">
        <v>106</v>
      </c>
      <c r="C28" s="4" t="s">
        <v>107</v>
      </c>
      <c r="D28" s="4" t="s">
        <v>12</v>
      </c>
      <c r="E28" s="4" t="s">
        <v>83</v>
      </c>
      <c r="F28" s="4" t="s">
        <v>78</v>
      </c>
      <c r="G28" s="4" t="s">
        <v>108</v>
      </c>
      <c r="H28" s="4" t="s">
        <v>109</v>
      </c>
      <c r="I28" s="4" t="s">
        <v>17</v>
      </c>
    </row>
    <row r="29" ht="45" spans="1:9">
      <c r="A29" s="4"/>
      <c r="B29" s="4" t="s">
        <v>110</v>
      </c>
      <c r="C29" s="4" t="s">
        <v>111</v>
      </c>
      <c r="D29" s="4" t="s">
        <v>12</v>
      </c>
      <c r="E29" s="4" t="s">
        <v>83</v>
      </c>
      <c r="F29" s="4" t="s">
        <v>78</v>
      </c>
      <c r="G29" s="4" t="s">
        <v>112</v>
      </c>
      <c r="H29" s="4" t="s">
        <v>109</v>
      </c>
      <c r="I29" s="4" t="s">
        <v>17</v>
      </c>
    </row>
    <row r="30" ht="30" spans="1:9">
      <c r="A30" s="4"/>
      <c r="B30" s="4" t="s">
        <v>113</v>
      </c>
      <c r="C30" s="4" t="s">
        <v>114</v>
      </c>
      <c r="D30" s="4" t="s">
        <v>12</v>
      </c>
      <c r="E30" s="4" t="s">
        <v>83</v>
      </c>
      <c r="F30" s="4" t="s">
        <v>78</v>
      </c>
      <c r="G30" s="4" t="s">
        <v>115</v>
      </c>
      <c r="H30" s="4" t="s">
        <v>109</v>
      </c>
      <c r="I30" s="4" t="s">
        <v>17</v>
      </c>
    </row>
    <row r="31" ht="105" spans="1:9">
      <c r="A31" s="4"/>
      <c r="B31" s="4" t="s">
        <v>116</v>
      </c>
      <c r="C31" s="4" t="s">
        <v>117</v>
      </c>
      <c r="D31" s="4" t="s">
        <v>24</v>
      </c>
      <c r="E31" s="4" t="s">
        <v>118</v>
      </c>
      <c r="F31" s="4" t="s">
        <v>78</v>
      </c>
      <c r="G31" s="4" t="s">
        <v>119</v>
      </c>
      <c r="H31" s="4" t="s">
        <v>109</v>
      </c>
      <c r="I31" s="4" t="s">
        <v>17</v>
      </c>
    </row>
    <row r="32" ht="59.25" spans="1:9">
      <c r="A32" s="4"/>
      <c r="B32" s="4" t="s">
        <v>120</v>
      </c>
      <c r="C32" s="4" t="s">
        <v>121</v>
      </c>
      <c r="D32" s="4" t="s">
        <v>24</v>
      </c>
      <c r="E32" s="4" t="s">
        <v>118</v>
      </c>
      <c r="F32" s="4" t="s">
        <v>78</v>
      </c>
      <c r="G32" s="4" t="s">
        <v>122</v>
      </c>
      <c r="H32" s="4" t="s">
        <v>109</v>
      </c>
      <c r="I32" s="4" t="s">
        <v>17</v>
      </c>
    </row>
    <row r="33" ht="60" spans="1:9">
      <c r="A33" s="4"/>
      <c r="B33" s="4" t="s">
        <v>123</v>
      </c>
      <c r="C33" s="4" t="s">
        <v>124</v>
      </c>
      <c r="D33" s="4" t="s">
        <v>24</v>
      </c>
      <c r="E33" s="4" t="s">
        <v>118</v>
      </c>
      <c r="F33" s="4" t="s">
        <v>78</v>
      </c>
      <c r="G33" s="4" t="s">
        <v>125</v>
      </c>
      <c r="H33" s="4" t="s">
        <v>109</v>
      </c>
      <c r="I33" s="4" t="s">
        <v>17</v>
      </c>
    </row>
    <row r="34" ht="59.25" spans="1:9">
      <c r="A34" s="4"/>
      <c r="B34" s="4" t="s">
        <v>126</v>
      </c>
      <c r="C34" s="4" t="s">
        <v>127</v>
      </c>
      <c r="D34" s="4" t="s">
        <v>24</v>
      </c>
      <c r="E34" s="4" t="s">
        <v>128</v>
      </c>
      <c r="F34" s="4" t="s">
        <v>78</v>
      </c>
      <c r="G34" s="4" t="s">
        <v>129</v>
      </c>
      <c r="H34" s="4" t="s">
        <v>85</v>
      </c>
      <c r="I34" s="4" t="s">
        <v>17</v>
      </c>
    </row>
    <row r="35" ht="119.25" spans="1:9">
      <c r="A35" s="4"/>
      <c r="B35" s="4" t="s">
        <v>130</v>
      </c>
      <c r="C35" s="4" t="s">
        <v>131</v>
      </c>
      <c r="D35" s="4" t="s">
        <v>132</v>
      </c>
      <c r="E35" s="4" t="s">
        <v>118</v>
      </c>
      <c r="F35" s="4" t="s">
        <v>78</v>
      </c>
      <c r="G35" s="4" t="s">
        <v>133</v>
      </c>
      <c r="H35" s="4" t="s">
        <v>85</v>
      </c>
      <c r="I35" s="4" t="s">
        <v>17</v>
      </c>
    </row>
    <row r="36" ht="30" spans="1:9">
      <c r="A36" s="4"/>
      <c r="B36" s="4" t="s">
        <v>134</v>
      </c>
      <c r="C36" s="4" t="s">
        <v>135</v>
      </c>
      <c r="D36" s="4" t="s">
        <v>136</v>
      </c>
      <c r="E36" s="4" t="s">
        <v>118</v>
      </c>
      <c r="F36" s="4" t="s">
        <v>78</v>
      </c>
      <c r="G36" s="4" t="s">
        <v>137</v>
      </c>
      <c r="H36" s="4" t="s">
        <v>85</v>
      </c>
      <c r="I36" s="4" t="s">
        <v>138</v>
      </c>
    </row>
    <row r="37" ht="30" spans="1:9">
      <c r="A37" s="4"/>
      <c r="B37" s="4" t="s">
        <v>139</v>
      </c>
      <c r="C37" s="4" t="s">
        <v>140</v>
      </c>
      <c r="D37" s="4" t="s">
        <v>136</v>
      </c>
      <c r="E37" s="4" t="s">
        <v>118</v>
      </c>
      <c r="F37" s="4" t="s">
        <v>78</v>
      </c>
      <c r="G37" s="4" t="s">
        <v>137</v>
      </c>
      <c r="H37" s="4" t="s">
        <v>85</v>
      </c>
      <c r="I37" s="4" t="s">
        <v>138</v>
      </c>
    </row>
    <row r="38" ht="28.5" spans="1:9">
      <c r="A38" s="4" t="s">
        <v>141</v>
      </c>
      <c r="B38" s="4"/>
      <c r="C38" s="4"/>
      <c r="D38" s="4"/>
      <c r="E38" s="4"/>
      <c r="F38" s="4"/>
      <c r="G38" s="4"/>
      <c r="H38" s="4"/>
      <c r="I38" s="4"/>
    </row>
    <row r="39" ht="73.5" spans="1:9">
      <c r="A39" s="4"/>
      <c r="B39" s="4" t="s">
        <v>142</v>
      </c>
      <c r="C39" s="4" t="s">
        <v>143</v>
      </c>
      <c r="D39" s="4" t="s">
        <v>24</v>
      </c>
      <c r="E39" s="4" t="s">
        <v>118</v>
      </c>
      <c r="F39" s="4" t="s">
        <v>78</v>
      </c>
      <c r="G39" s="4" t="s">
        <v>144</v>
      </c>
      <c r="H39" s="4" t="s">
        <v>109</v>
      </c>
      <c r="I39" s="4" t="s">
        <v>17</v>
      </c>
    </row>
    <row r="40" ht="58.5" spans="1:9">
      <c r="A40" s="4"/>
      <c r="B40" s="4" t="s">
        <v>145</v>
      </c>
      <c r="C40" s="4" t="s">
        <v>146</v>
      </c>
      <c r="D40" s="4" t="s">
        <v>91</v>
      </c>
      <c r="E40" s="4" t="s">
        <v>83</v>
      </c>
      <c r="F40" s="4" t="s">
        <v>78</v>
      </c>
      <c r="G40" s="4" t="s">
        <v>147</v>
      </c>
      <c r="H40" s="4" t="s">
        <v>109</v>
      </c>
      <c r="I40" s="4" t="s">
        <v>148</v>
      </c>
    </row>
    <row r="41" ht="72.75" spans="1:9">
      <c r="A41" s="4"/>
      <c r="B41" s="4" t="s">
        <v>149</v>
      </c>
      <c r="C41" s="4" t="s">
        <v>150</v>
      </c>
      <c r="D41" s="4" t="s">
        <v>24</v>
      </c>
      <c r="E41" s="4" t="s">
        <v>118</v>
      </c>
      <c r="F41" s="4" t="s">
        <v>78</v>
      </c>
      <c r="G41" s="4" t="s">
        <v>151</v>
      </c>
      <c r="H41" s="4" t="s">
        <v>109</v>
      </c>
      <c r="I41" s="4" t="s">
        <v>152</v>
      </c>
    </row>
    <row r="42" ht="45" spans="1:9">
      <c r="A42" s="4"/>
      <c r="B42" s="4" t="s">
        <v>153</v>
      </c>
      <c r="C42" s="4" t="s">
        <v>154</v>
      </c>
      <c r="D42" s="4" t="s">
        <v>136</v>
      </c>
      <c r="E42" s="4" t="s">
        <v>155</v>
      </c>
      <c r="F42" s="4" t="s">
        <v>60</v>
      </c>
      <c r="G42" s="4" t="s">
        <v>137</v>
      </c>
      <c r="H42" s="4" t="s">
        <v>109</v>
      </c>
      <c r="I42" s="4" t="s">
        <v>17</v>
      </c>
    </row>
    <row r="43" ht="45" spans="1:9">
      <c r="A43" s="4"/>
      <c r="B43" s="4" t="s">
        <v>156</v>
      </c>
      <c r="C43" s="4" t="s">
        <v>157</v>
      </c>
      <c r="D43" s="4" t="s">
        <v>136</v>
      </c>
      <c r="E43" s="4" t="s">
        <v>155</v>
      </c>
      <c r="F43" s="4" t="s">
        <v>60</v>
      </c>
      <c r="G43" s="4" t="s">
        <v>137</v>
      </c>
      <c r="H43" s="4" t="s">
        <v>109</v>
      </c>
      <c r="I43" s="4" t="s">
        <v>17</v>
      </c>
    </row>
    <row r="44" ht="45" spans="1:9">
      <c r="A44" s="4"/>
      <c r="B44" s="4" t="s">
        <v>158</v>
      </c>
      <c r="C44" s="4" t="s">
        <v>159</v>
      </c>
      <c r="D44" s="4" t="s">
        <v>136</v>
      </c>
      <c r="E44" s="4" t="s">
        <v>56</v>
      </c>
      <c r="F44" s="4" t="s">
        <v>78</v>
      </c>
      <c r="G44" s="4" t="s">
        <v>137</v>
      </c>
      <c r="H44" s="4" t="s">
        <v>85</v>
      </c>
      <c r="I44" s="4" t="s">
        <v>67</v>
      </c>
    </row>
    <row r="45" ht="30" spans="1:9">
      <c r="A45" s="4"/>
      <c r="B45" s="4" t="s">
        <v>160</v>
      </c>
      <c r="C45" s="4" t="s">
        <v>161</v>
      </c>
      <c r="D45" s="4" t="s">
        <v>82</v>
      </c>
      <c r="E45" s="4" t="s">
        <v>83</v>
      </c>
      <c r="F45" s="4" t="s">
        <v>78</v>
      </c>
      <c r="G45" s="4" t="s">
        <v>162</v>
      </c>
      <c r="H45" s="4" t="s">
        <v>85</v>
      </c>
      <c r="I45" s="4" t="s">
        <v>67</v>
      </c>
    </row>
    <row r="46" ht="58.5" spans="1:9">
      <c r="A46" s="4"/>
      <c r="B46" s="4" t="s">
        <v>163</v>
      </c>
      <c r="C46" s="4" t="s">
        <v>164</v>
      </c>
      <c r="D46" s="4" t="s">
        <v>24</v>
      </c>
      <c r="E46" s="4" t="s">
        <v>118</v>
      </c>
      <c r="F46" s="4" t="s">
        <v>78</v>
      </c>
      <c r="G46" s="4" t="s">
        <v>165</v>
      </c>
      <c r="H46" s="4" t="s">
        <v>109</v>
      </c>
      <c r="I46" s="4" t="s">
        <v>67</v>
      </c>
    </row>
    <row r="47" ht="60" spans="1:9">
      <c r="A47" s="4"/>
      <c r="B47" s="4" t="s">
        <v>166</v>
      </c>
      <c r="C47" s="4" t="s">
        <v>167</v>
      </c>
      <c r="D47" s="4" t="s">
        <v>136</v>
      </c>
      <c r="E47" s="4" t="s">
        <v>56</v>
      </c>
      <c r="F47" s="4" t="s">
        <v>78</v>
      </c>
      <c r="G47" s="4" t="s">
        <v>137</v>
      </c>
      <c r="H47" s="4" t="s">
        <v>85</v>
      </c>
      <c r="I47" s="4" t="s">
        <v>168</v>
      </c>
    </row>
    <row r="48" ht="43.5" spans="1:9">
      <c r="A48" s="4"/>
      <c r="B48" s="4" t="s">
        <v>169</v>
      </c>
      <c r="C48" s="4" t="s">
        <v>170</v>
      </c>
      <c r="D48" s="4" t="s">
        <v>136</v>
      </c>
      <c r="E48" s="4" t="s">
        <v>56</v>
      </c>
      <c r="F48" s="4" t="s">
        <v>78</v>
      </c>
      <c r="G48" s="4" t="s">
        <v>137</v>
      </c>
      <c r="H48" s="4" t="s">
        <v>85</v>
      </c>
      <c r="I48" s="4" t="s">
        <v>67</v>
      </c>
    </row>
    <row r="49" ht="45" spans="1:9">
      <c r="A49" s="4"/>
      <c r="B49" s="4" t="s">
        <v>171</v>
      </c>
      <c r="C49" s="4" t="s">
        <v>172</v>
      </c>
      <c r="D49" s="4" t="s">
        <v>82</v>
      </c>
      <c r="E49" s="4" t="s">
        <v>83</v>
      </c>
      <c r="F49" s="4" t="s">
        <v>78</v>
      </c>
      <c r="G49" s="4" t="s">
        <v>173</v>
      </c>
      <c r="H49" s="4" t="s">
        <v>85</v>
      </c>
      <c r="I49" s="4" t="s">
        <v>67</v>
      </c>
    </row>
    <row r="50" ht="30" spans="1:9">
      <c r="A50" s="4"/>
      <c r="B50" s="4" t="s">
        <v>174</v>
      </c>
      <c r="C50" s="4" t="s">
        <v>175</v>
      </c>
      <c r="D50" s="4" t="s">
        <v>136</v>
      </c>
      <c r="E50" s="4" t="s">
        <v>56</v>
      </c>
      <c r="F50" s="4" t="s">
        <v>78</v>
      </c>
      <c r="G50" s="4" t="s">
        <v>137</v>
      </c>
      <c r="H50" s="4" t="s">
        <v>85</v>
      </c>
      <c r="I50" s="4" t="s">
        <v>148</v>
      </c>
    </row>
    <row r="51" ht="45" spans="1:9">
      <c r="A51" s="4"/>
      <c r="B51" s="4" t="s">
        <v>176</v>
      </c>
      <c r="C51" s="4" t="s">
        <v>177</v>
      </c>
      <c r="D51" s="4" t="s">
        <v>82</v>
      </c>
      <c r="E51" s="4" t="s">
        <v>83</v>
      </c>
      <c r="F51" s="4" t="s">
        <v>78</v>
      </c>
      <c r="G51" s="4" t="s">
        <v>178</v>
      </c>
      <c r="H51" s="4" t="s">
        <v>85</v>
      </c>
      <c r="I51" s="4" t="s">
        <v>148</v>
      </c>
    </row>
    <row r="52" ht="45" spans="1:9">
      <c r="A52" s="4"/>
      <c r="B52" s="4" t="s">
        <v>179</v>
      </c>
      <c r="C52" s="4" t="s">
        <v>180</v>
      </c>
      <c r="D52" s="4" t="s">
        <v>136</v>
      </c>
      <c r="E52" s="4" t="s">
        <v>56</v>
      </c>
      <c r="F52" s="4" t="s">
        <v>78</v>
      </c>
      <c r="G52" s="4" t="s">
        <v>137</v>
      </c>
      <c r="H52" s="4" t="s">
        <v>85</v>
      </c>
      <c r="I52" s="4" t="s">
        <v>17</v>
      </c>
    </row>
    <row r="53" ht="45" spans="1:9">
      <c r="A53" s="4"/>
      <c r="B53" s="4" t="s">
        <v>181</v>
      </c>
      <c r="C53" s="4" t="s">
        <v>182</v>
      </c>
      <c r="D53" s="4" t="s">
        <v>136</v>
      </c>
      <c r="E53" s="4" t="s">
        <v>56</v>
      </c>
      <c r="F53" s="4" t="s">
        <v>78</v>
      </c>
      <c r="G53" s="4" t="s">
        <v>137</v>
      </c>
      <c r="H53" s="4" t="s">
        <v>85</v>
      </c>
      <c r="I53" s="4" t="s">
        <v>168</v>
      </c>
    </row>
    <row r="54" ht="30" spans="1:9">
      <c r="A54" s="4"/>
      <c r="B54" s="4" t="s">
        <v>183</v>
      </c>
      <c r="C54" s="4" t="s">
        <v>184</v>
      </c>
      <c r="D54" s="4" t="s">
        <v>136</v>
      </c>
      <c r="E54" s="4" t="s">
        <v>56</v>
      </c>
      <c r="F54" s="4" t="s">
        <v>78</v>
      </c>
      <c r="G54" s="4" t="s">
        <v>137</v>
      </c>
      <c r="H54" s="4" t="s">
        <v>85</v>
      </c>
      <c r="I54" s="4" t="s">
        <v>17</v>
      </c>
    </row>
    <row r="55" ht="90" spans="1:9">
      <c r="A55" s="4"/>
      <c r="B55" s="4" t="s">
        <v>185</v>
      </c>
      <c r="C55" s="4" t="s">
        <v>186</v>
      </c>
      <c r="D55" s="4" t="s">
        <v>132</v>
      </c>
      <c r="E55" s="4" t="s">
        <v>118</v>
      </c>
      <c r="F55" s="4" t="s">
        <v>78</v>
      </c>
      <c r="G55" s="4" t="s">
        <v>187</v>
      </c>
      <c r="H55" s="4" t="s">
        <v>109</v>
      </c>
      <c r="I55" s="4" t="s">
        <v>17</v>
      </c>
    </row>
    <row r="56" ht="88.5" spans="1:9">
      <c r="A56" s="4"/>
      <c r="B56" s="4" t="s">
        <v>188</v>
      </c>
      <c r="C56" s="4" t="s">
        <v>189</v>
      </c>
      <c r="D56" s="4" t="s">
        <v>24</v>
      </c>
      <c r="E56" s="4" t="s">
        <v>118</v>
      </c>
      <c r="F56" s="4" t="s">
        <v>78</v>
      </c>
      <c r="G56" s="4" t="s">
        <v>190</v>
      </c>
      <c r="H56" s="4" t="s">
        <v>109</v>
      </c>
      <c r="I56" s="4" t="s">
        <v>17</v>
      </c>
    </row>
    <row r="57" ht="104.25" spans="1:9">
      <c r="A57" s="4"/>
      <c r="B57" s="4" t="s">
        <v>191</v>
      </c>
      <c r="C57" s="4" t="s">
        <v>192</v>
      </c>
      <c r="D57" s="4" t="s">
        <v>24</v>
      </c>
      <c r="E57" s="4" t="s">
        <v>83</v>
      </c>
      <c r="F57" s="4" t="s">
        <v>78</v>
      </c>
      <c r="G57" s="4" t="s">
        <v>193</v>
      </c>
      <c r="H57" s="4" t="s">
        <v>109</v>
      </c>
      <c r="I57" s="4" t="s">
        <v>194</v>
      </c>
    </row>
    <row r="58" ht="58.5" spans="1:9">
      <c r="A58" s="4"/>
      <c r="B58" s="4" t="s">
        <v>195</v>
      </c>
      <c r="C58" s="4" t="s">
        <v>196</v>
      </c>
      <c r="D58" s="4" t="s">
        <v>91</v>
      </c>
      <c r="E58" s="4" t="s">
        <v>83</v>
      </c>
      <c r="F58" s="4" t="s">
        <v>78</v>
      </c>
      <c r="G58" s="4" t="s">
        <v>197</v>
      </c>
      <c r="H58" s="4" t="s">
        <v>109</v>
      </c>
      <c r="I58" s="4" t="s">
        <v>17</v>
      </c>
    </row>
    <row r="59" ht="45" spans="1:9">
      <c r="A59" s="4"/>
      <c r="B59" s="4" t="s">
        <v>198</v>
      </c>
      <c r="C59" s="4" t="s">
        <v>199</v>
      </c>
      <c r="D59" s="4" t="s">
        <v>136</v>
      </c>
      <c r="E59" s="4" t="s">
        <v>200</v>
      </c>
      <c r="F59" s="4" t="s">
        <v>60</v>
      </c>
      <c r="G59" s="4" t="s">
        <v>137</v>
      </c>
      <c r="H59" s="4" t="s">
        <v>44</v>
      </c>
      <c r="I59" s="4" t="s">
        <v>201</v>
      </c>
    </row>
    <row r="60" ht="59.25" spans="1:9">
      <c r="A60" s="4"/>
      <c r="B60" s="4" t="s">
        <v>202</v>
      </c>
      <c r="C60" s="4" t="s">
        <v>203</v>
      </c>
      <c r="D60" s="4" t="s">
        <v>132</v>
      </c>
      <c r="E60" s="4" t="s">
        <v>200</v>
      </c>
      <c r="F60" s="4" t="s">
        <v>60</v>
      </c>
      <c r="G60" s="4" t="s">
        <v>204</v>
      </c>
      <c r="H60" s="4" t="s">
        <v>44</v>
      </c>
      <c r="I60" s="4" t="s">
        <v>201</v>
      </c>
    </row>
    <row r="61" ht="28.5" spans="1:9">
      <c r="A61" s="4" t="s">
        <v>205</v>
      </c>
      <c r="B61" s="4"/>
      <c r="C61" s="4"/>
      <c r="D61" s="4"/>
      <c r="E61" s="4"/>
      <c r="F61" s="4"/>
      <c r="G61" s="4"/>
      <c r="H61" s="4"/>
      <c r="I61" s="4"/>
    </row>
    <row r="62" ht="74.25" spans="1:9">
      <c r="A62" s="4"/>
      <c r="B62" s="4" t="s">
        <v>206</v>
      </c>
      <c r="C62" s="4" t="s">
        <v>207</v>
      </c>
      <c r="D62" s="4" t="s">
        <v>24</v>
      </c>
      <c r="E62" s="4" t="s">
        <v>208</v>
      </c>
      <c r="F62" s="4" t="s">
        <v>78</v>
      </c>
      <c r="G62" s="4" t="s">
        <v>209</v>
      </c>
      <c r="H62" s="4" t="s">
        <v>210</v>
      </c>
      <c r="I62" s="4" t="s">
        <v>17</v>
      </c>
    </row>
    <row r="63" ht="30" spans="1:9">
      <c r="A63" s="4"/>
      <c r="B63" s="4" t="s">
        <v>211</v>
      </c>
      <c r="C63" s="4" t="s">
        <v>212</v>
      </c>
      <c r="D63" s="4" t="s">
        <v>29</v>
      </c>
      <c r="E63" s="4" t="s">
        <v>208</v>
      </c>
      <c r="F63" s="4" t="s">
        <v>78</v>
      </c>
      <c r="G63" s="4" t="s">
        <v>31</v>
      </c>
      <c r="H63" s="4" t="s">
        <v>62</v>
      </c>
      <c r="I63" s="4" t="s">
        <v>17</v>
      </c>
    </row>
    <row r="64" ht="42.75" spans="1:9">
      <c r="A64" s="4"/>
      <c r="B64" s="4" t="s">
        <v>213</v>
      </c>
      <c r="C64" s="4" t="s">
        <v>214</v>
      </c>
      <c r="D64" s="4" t="s">
        <v>91</v>
      </c>
      <c r="E64" s="4" t="s">
        <v>83</v>
      </c>
      <c r="F64" s="4" t="s">
        <v>78</v>
      </c>
      <c r="G64" s="4" t="s">
        <v>215</v>
      </c>
      <c r="H64" s="4" t="s">
        <v>85</v>
      </c>
      <c r="I64" s="4" t="s">
        <v>17</v>
      </c>
    </row>
    <row r="65" ht="43.5" spans="1:9">
      <c r="A65" s="4"/>
      <c r="B65" s="4" t="s">
        <v>216</v>
      </c>
      <c r="C65" s="4" t="s">
        <v>217</v>
      </c>
      <c r="D65" s="4" t="s">
        <v>91</v>
      </c>
      <c r="E65" s="4" t="s">
        <v>83</v>
      </c>
      <c r="F65" s="4" t="s">
        <v>78</v>
      </c>
      <c r="G65" s="4" t="s">
        <v>218</v>
      </c>
      <c r="H65" s="4" t="s">
        <v>85</v>
      </c>
      <c r="I65" s="4" t="s">
        <v>17</v>
      </c>
    </row>
    <row r="66" ht="30" spans="1:9">
      <c r="A66" s="4"/>
      <c r="B66" s="4" t="s">
        <v>219</v>
      </c>
      <c r="C66" s="4" t="s">
        <v>220</v>
      </c>
      <c r="D66" s="4" t="s">
        <v>82</v>
      </c>
      <c r="E66" s="4" t="s">
        <v>83</v>
      </c>
      <c r="F66" s="4" t="s">
        <v>78</v>
      </c>
      <c r="G66" s="4" t="s">
        <v>221</v>
      </c>
      <c r="H66" s="4" t="s">
        <v>85</v>
      </c>
      <c r="I66" s="4" t="s">
        <v>17</v>
      </c>
    </row>
    <row r="67" ht="30" spans="1:9">
      <c r="A67" s="4"/>
      <c r="B67" s="4" t="s">
        <v>222</v>
      </c>
      <c r="C67" s="4" t="s">
        <v>223</v>
      </c>
      <c r="D67" s="4" t="s">
        <v>82</v>
      </c>
      <c r="E67" s="4" t="s">
        <v>83</v>
      </c>
      <c r="F67" s="4" t="s">
        <v>78</v>
      </c>
      <c r="G67" s="4" t="s">
        <v>224</v>
      </c>
      <c r="H67" s="4" t="s">
        <v>85</v>
      </c>
      <c r="I67" s="4" t="s">
        <v>17</v>
      </c>
    </row>
    <row r="68" ht="45" spans="1:9">
      <c r="A68" s="4"/>
      <c r="B68" s="4" t="s">
        <v>225</v>
      </c>
      <c r="C68" s="4" t="s">
        <v>226</v>
      </c>
      <c r="D68" s="4" t="s">
        <v>82</v>
      </c>
      <c r="E68" s="4" t="s">
        <v>104</v>
      </c>
      <c r="F68" s="4" t="s">
        <v>78</v>
      </c>
      <c r="G68" s="4" t="s">
        <v>227</v>
      </c>
      <c r="H68" s="4" t="s">
        <v>109</v>
      </c>
      <c r="I68" s="4" t="s">
        <v>17</v>
      </c>
    </row>
    <row r="69" ht="30" spans="1:9">
      <c r="A69" s="4"/>
      <c r="B69" s="4" t="s">
        <v>228</v>
      </c>
      <c r="C69" s="4" t="s">
        <v>229</v>
      </c>
      <c r="D69" s="4" t="s">
        <v>91</v>
      </c>
      <c r="E69" s="4" t="s">
        <v>104</v>
      </c>
      <c r="F69" s="4" t="s">
        <v>78</v>
      </c>
      <c r="G69" s="4" t="s">
        <v>230</v>
      </c>
      <c r="H69" s="4" t="s">
        <v>109</v>
      </c>
      <c r="I69" s="4" t="s">
        <v>17</v>
      </c>
    </row>
    <row r="70" ht="42.75" spans="1:9">
      <c r="A70" s="4"/>
      <c r="B70" s="4" t="s">
        <v>231</v>
      </c>
      <c r="C70" s="4" t="s">
        <v>232</v>
      </c>
      <c r="D70" s="4" t="s">
        <v>82</v>
      </c>
      <c r="E70" s="4" t="s">
        <v>104</v>
      </c>
      <c r="F70" s="4" t="s">
        <v>78</v>
      </c>
      <c r="G70" s="4" t="s">
        <v>233</v>
      </c>
      <c r="H70" s="4" t="s">
        <v>85</v>
      </c>
      <c r="I70" s="4" t="s">
        <v>17</v>
      </c>
    </row>
    <row r="71" ht="30" spans="1:9">
      <c r="A71" s="4"/>
      <c r="B71" s="4" t="s">
        <v>234</v>
      </c>
      <c r="C71" s="4" t="s">
        <v>235</v>
      </c>
      <c r="D71" s="4" t="s">
        <v>91</v>
      </c>
      <c r="E71" s="4" t="s">
        <v>104</v>
      </c>
      <c r="F71" s="4" t="s">
        <v>78</v>
      </c>
      <c r="G71" s="4" t="s">
        <v>236</v>
      </c>
      <c r="H71" s="4" t="s">
        <v>109</v>
      </c>
      <c r="I71" s="4" t="s">
        <v>17</v>
      </c>
    </row>
    <row r="72" ht="30" spans="1:9">
      <c r="A72" s="4"/>
      <c r="B72" s="4" t="s">
        <v>237</v>
      </c>
      <c r="C72" s="4" t="s">
        <v>238</v>
      </c>
      <c r="D72" s="4" t="s">
        <v>91</v>
      </c>
      <c r="E72" s="4" t="s">
        <v>104</v>
      </c>
      <c r="F72" s="4" t="s">
        <v>78</v>
      </c>
      <c r="G72" s="4" t="s">
        <v>239</v>
      </c>
      <c r="H72" s="4" t="s">
        <v>109</v>
      </c>
      <c r="I72" s="4" t="s">
        <v>17</v>
      </c>
    </row>
    <row r="73" ht="57" spans="1:9">
      <c r="A73" s="4"/>
      <c r="B73" s="4" t="s">
        <v>240</v>
      </c>
      <c r="C73" s="4" t="s">
        <v>241</v>
      </c>
      <c r="D73" s="4" t="s">
        <v>91</v>
      </c>
      <c r="E73" s="4" t="s">
        <v>104</v>
      </c>
      <c r="F73" s="4" t="s">
        <v>78</v>
      </c>
      <c r="G73" s="4" t="s">
        <v>242</v>
      </c>
      <c r="H73" s="4" t="s">
        <v>109</v>
      </c>
      <c r="I73" s="4" t="s">
        <v>17</v>
      </c>
    </row>
    <row r="74" ht="59.25" spans="1:9">
      <c r="A74" s="4"/>
      <c r="B74" s="4" t="s">
        <v>243</v>
      </c>
      <c r="C74" s="4" t="s">
        <v>244</v>
      </c>
      <c r="D74" s="4" t="s">
        <v>24</v>
      </c>
      <c r="E74" s="4" t="s">
        <v>104</v>
      </c>
      <c r="F74" s="4" t="s">
        <v>78</v>
      </c>
      <c r="G74" s="4" t="s">
        <v>245</v>
      </c>
      <c r="H74" s="4" t="s">
        <v>109</v>
      </c>
      <c r="I74" s="4" t="s">
        <v>17</v>
      </c>
    </row>
    <row r="75" ht="28.5" spans="1:9">
      <c r="A75" s="4" t="s">
        <v>246</v>
      </c>
      <c r="B75" s="4"/>
      <c r="C75" s="4"/>
      <c r="D75" s="4"/>
      <c r="E75" s="4"/>
      <c r="F75" s="4"/>
      <c r="G75" s="4"/>
      <c r="H75" s="4"/>
      <c r="I75" s="4"/>
    </row>
    <row r="76" ht="30" spans="1:9">
      <c r="A76" s="4"/>
      <c r="B76" s="4" t="s">
        <v>247</v>
      </c>
      <c r="C76" s="4" t="s">
        <v>248</v>
      </c>
      <c r="D76" s="4" t="s">
        <v>12</v>
      </c>
      <c r="E76" s="4" t="s">
        <v>13</v>
      </c>
      <c r="F76" s="4" t="s">
        <v>78</v>
      </c>
      <c r="G76" s="4" t="s">
        <v>249</v>
      </c>
      <c r="H76" s="4" t="s">
        <v>85</v>
      </c>
      <c r="I76" s="4" t="s">
        <v>17</v>
      </c>
    </row>
    <row r="77" ht="30" spans="1:9">
      <c r="A77" s="4"/>
      <c r="B77" s="4" t="s">
        <v>250</v>
      </c>
      <c r="C77" s="4" t="s">
        <v>251</v>
      </c>
      <c r="D77" s="4" t="s">
        <v>252</v>
      </c>
      <c r="E77" s="4" t="s">
        <v>253</v>
      </c>
      <c r="F77" s="4" t="s">
        <v>78</v>
      </c>
      <c r="G77" s="4" t="s">
        <v>254</v>
      </c>
      <c r="H77" s="4" t="s">
        <v>85</v>
      </c>
      <c r="I77" s="4" t="s">
        <v>17</v>
      </c>
    </row>
    <row r="78" ht="44.25" spans="1:9">
      <c r="A78" s="4"/>
      <c r="B78" s="4" t="s">
        <v>255</v>
      </c>
      <c r="C78" s="4" t="s">
        <v>256</v>
      </c>
      <c r="D78" s="4" t="s">
        <v>24</v>
      </c>
      <c r="E78" s="4" t="s">
        <v>253</v>
      </c>
      <c r="F78" s="4" t="s">
        <v>78</v>
      </c>
      <c r="G78" s="4" t="s">
        <v>257</v>
      </c>
      <c r="H78" s="4" t="s">
        <v>85</v>
      </c>
      <c r="I78" s="4" t="s">
        <v>17</v>
      </c>
    </row>
    <row r="79" ht="44.25" spans="1:9">
      <c r="A79" s="4"/>
      <c r="B79" s="4" t="s">
        <v>258</v>
      </c>
      <c r="C79" s="4" t="s">
        <v>259</v>
      </c>
      <c r="D79" s="4" t="s">
        <v>24</v>
      </c>
      <c r="E79" s="4" t="s">
        <v>253</v>
      </c>
      <c r="F79" s="4" t="s">
        <v>78</v>
      </c>
      <c r="G79" s="4" t="s">
        <v>260</v>
      </c>
      <c r="H79" s="4" t="s">
        <v>85</v>
      </c>
      <c r="I79" s="4" t="s">
        <v>17</v>
      </c>
    </row>
    <row r="80" ht="30" spans="1:9">
      <c r="A80" s="4"/>
      <c r="B80" s="4" t="s">
        <v>261</v>
      </c>
      <c r="C80" s="4" t="s">
        <v>262</v>
      </c>
      <c r="D80" s="4" t="s">
        <v>263</v>
      </c>
      <c r="E80" s="4" t="s">
        <v>253</v>
      </c>
      <c r="F80" s="4" t="s">
        <v>78</v>
      </c>
      <c r="G80" s="4" t="s">
        <v>264</v>
      </c>
      <c r="H80" s="4" t="s">
        <v>85</v>
      </c>
      <c r="I80" s="4" t="s">
        <v>17</v>
      </c>
    </row>
    <row r="81" ht="42.75" spans="1:9">
      <c r="A81" s="4"/>
      <c r="B81" s="4" t="s">
        <v>265</v>
      </c>
      <c r="C81" s="4" t="s">
        <v>266</v>
      </c>
      <c r="D81" s="4" t="s">
        <v>12</v>
      </c>
      <c r="E81" s="4" t="s">
        <v>118</v>
      </c>
      <c r="F81" s="4" t="s">
        <v>78</v>
      </c>
      <c r="G81" s="4" t="s">
        <v>267</v>
      </c>
      <c r="H81" s="4" t="s">
        <v>85</v>
      </c>
      <c r="I81" s="4" t="s">
        <v>17</v>
      </c>
    </row>
    <row r="82" ht="45" spans="1:9">
      <c r="A82" s="4"/>
      <c r="B82" s="4" t="s">
        <v>268</v>
      </c>
      <c r="C82" s="4" t="s">
        <v>269</v>
      </c>
      <c r="D82" s="4" t="s">
        <v>12</v>
      </c>
      <c r="E82" s="4" t="s">
        <v>253</v>
      </c>
      <c r="F82" s="4" t="s">
        <v>78</v>
      </c>
      <c r="G82" s="4" t="s">
        <v>270</v>
      </c>
      <c r="H82" s="4" t="s">
        <v>85</v>
      </c>
      <c r="I82" s="4" t="s">
        <v>17</v>
      </c>
    </row>
    <row r="83" ht="45" spans="1:9">
      <c r="A83" s="4"/>
      <c r="B83" s="4" t="s">
        <v>271</v>
      </c>
      <c r="C83" s="4" t="s">
        <v>272</v>
      </c>
      <c r="D83" s="4" t="s">
        <v>12</v>
      </c>
      <c r="E83" s="4" t="s">
        <v>253</v>
      </c>
      <c r="F83" s="4" t="s">
        <v>78</v>
      </c>
      <c r="G83" s="4" t="s">
        <v>273</v>
      </c>
      <c r="H83" s="4" t="s">
        <v>85</v>
      </c>
      <c r="I83" s="4" t="s">
        <v>17</v>
      </c>
    </row>
    <row r="84" ht="42.75" spans="1:9">
      <c r="A84" s="4"/>
      <c r="B84" s="4" t="s">
        <v>274</v>
      </c>
      <c r="C84" s="4" t="s">
        <v>275</v>
      </c>
      <c r="D84" s="4" t="s">
        <v>24</v>
      </c>
      <c r="E84" s="4" t="s">
        <v>253</v>
      </c>
      <c r="F84" s="4" t="s">
        <v>78</v>
      </c>
      <c r="G84" s="4" t="s">
        <v>276</v>
      </c>
      <c r="H84" s="4" t="s">
        <v>85</v>
      </c>
      <c r="I84" s="4" t="s">
        <v>17</v>
      </c>
    </row>
    <row r="85" ht="45" spans="1:9">
      <c r="A85" s="4"/>
      <c r="B85" s="4" t="s">
        <v>277</v>
      </c>
      <c r="C85" s="4" t="s">
        <v>278</v>
      </c>
      <c r="D85" s="4" t="s">
        <v>82</v>
      </c>
      <c r="E85" s="4" t="s">
        <v>83</v>
      </c>
      <c r="F85" s="4" t="s">
        <v>78</v>
      </c>
      <c r="G85" s="4" t="s">
        <v>279</v>
      </c>
      <c r="H85" s="4" t="s">
        <v>85</v>
      </c>
      <c r="I85" s="4" t="s">
        <v>17</v>
      </c>
    </row>
    <row r="86" ht="45" spans="1:9">
      <c r="A86" s="4"/>
      <c r="B86" s="4" t="s">
        <v>280</v>
      </c>
      <c r="C86" s="4" t="s">
        <v>281</v>
      </c>
      <c r="D86" s="4" t="s">
        <v>82</v>
      </c>
      <c r="E86" s="4" t="s">
        <v>83</v>
      </c>
      <c r="F86" s="4" t="s">
        <v>78</v>
      </c>
      <c r="G86" s="4" t="s">
        <v>282</v>
      </c>
      <c r="H86" s="4" t="s">
        <v>85</v>
      </c>
      <c r="I86" s="4" t="s">
        <v>17</v>
      </c>
    </row>
    <row r="87" ht="45" spans="1:9">
      <c r="A87" s="4"/>
      <c r="B87" s="4" t="s">
        <v>283</v>
      </c>
      <c r="C87" s="4" t="s">
        <v>284</v>
      </c>
      <c r="D87" s="4" t="s">
        <v>285</v>
      </c>
      <c r="E87" s="4" t="s">
        <v>253</v>
      </c>
      <c r="F87" s="4" t="s">
        <v>78</v>
      </c>
      <c r="G87" s="4" t="s">
        <v>286</v>
      </c>
      <c r="H87" s="4" t="s">
        <v>85</v>
      </c>
      <c r="I87" s="4" t="s">
        <v>287</v>
      </c>
    </row>
    <row r="88" ht="30" spans="1:9">
      <c r="A88" s="4"/>
      <c r="B88" s="4" t="s">
        <v>288</v>
      </c>
      <c r="C88" s="4" t="s">
        <v>289</v>
      </c>
      <c r="D88" s="4" t="s">
        <v>285</v>
      </c>
      <c r="E88" s="4" t="s">
        <v>253</v>
      </c>
      <c r="F88" s="4" t="s">
        <v>78</v>
      </c>
      <c r="G88" s="4" t="s">
        <v>290</v>
      </c>
      <c r="H88" s="4" t="s">
        <v>85</v>
      </c>
      <c r="I88" s="4" t="s">
        <v>17</v>
      </c>
    </row>
    <row r="89" ht="43.5" spans="1:9">
      <c r="A89" s="4"/>
      <c r="B89" s="4" t="s">
        <v>291</v>
      </c>
      <c r="C89" s="4" t="s">
        <v>292</v>
      </c>
      <c r="D89" s="4" t="s">
        <v>285</v>
      </c>
      <c r="E89" s="4" t="s">
        <v>253</v>
      </c>
      <c r="F89" s="4" t="s">
        <v>78</v>
      </c>
      <c r="G89" s="4" t="s">
        <v>293</v>
      </c>
      <c r="H89" s="4" t="s">
        <v>85</v>
      </c>
      <c r="I89" s="4" t="s">
        <v>168</v>
      </c>
    </row>
    <row r="90" ht="43.5" spans="1:9">
      <c r="A90" s="4"/>
      <c r="B90" s="4" t="s">
        <v>294</v>
      </c>
      <c r="C90" s="4" t="s">
        <v>295</v>
      </c>
      <c r="D90" s="4" t="s">
        <v>285</v>
      </c>
      <c r="E90" s="4" t="s">
        <v>253</v>
      </c>
      <c r="F90" s="4" t="s">
        <v>78</v>
      </c>
      <c r="G90" s="4" t="s">
        <v>296</v>
      </c>
      <c r="H90" s="4" t="s">
        <v>85</v>
      </c>
      <c r="I90" s="4" t="s">
        <v>138</v>
      </c>
    </row>
    <row r="91" ht="45" spans="1:9">
      <c r="A91" s="4"/>
      <c r="B91" s="4" t="s">
        <v>297</v>
      </c>
      <c r="C91" s="4" t="s">
        <v>298</v>
      </c>
      <c r="D91" s="4" t="s">
        <v>285</v>
      </c>
      <c r="E91" s="4" t="s">
        <v>253</v>
      </c>
      <c r="F91" s="4" t="s">
        <v>78</v>
      </c>
      <c r="G91" s="4" t="s">
        <v>299</v>
      </c>
      <c r="H91" s="4" t="s">
        <v>85</v>
      </c>
      <c r="I91" s="4" t="s">
        <v>168</v>
      </c>
    </row>
    <row r="92" ht="45" spans="1:9">
      <c r="A92" s="4"/>
      <c r="B92" s="4" t="s">
        <v>300</v>
      </c>
      <c r="C92" s="4" t="s">
        <v>301</v>
      </c>
      <c r="D92" s="4" t="s">
        <v>285</v>
      </c>
      <c r="E92" s="4" t="s">
        <v>253</v>
      </c>
      <c r="F92" s="4" t="s">
        <v>78</v>
      </c>
      <c r="G92" s="4" t="s">
        <v>302</v>
      </c>
      <c r="H92" s="4" t="s">
        <v>85</v>
      </c>
      <c r="I92" s="4" t="s">
        <v>17</v>
      </c>
    </row>
    <row r="93" ht="102" spans="1:9">
      <c r="A93" s="4"/>
      <c r="B93" s="4" t="s">
        <v>303</v>
      </c>
      <c r="C93" s="4" t="s">
        <v>304</v>
      </c>
      <c r="D93" s="4" t="s">
        <v>24</v>
      </c>
      <c r="E93" s="4" t="s">
        <v>128</v>
      </c>
      <c r="F93" s="4" t="s">
        <v>78</v>
      </c>
      <c r="G93" s="4" t="s">
        <v>305</v>
      </c>
      <c r="H93" s="4" t="s">
        <v>85</v>
      </c>
      <c r="I93" s="4" t="s">
        <v>17</v>
      </c>
    </row>
    <row r="94" ht="42.75" spans="1:9">
      <c r="A94" s="4"/>
      <c r="B94" s="4" t="s">
        <v>306</v>
      </c>
      <c r="C94" s="4" t="s">
        <v>307</v>
      </c>
      <c r="D94" s="4" t="s">
        <v>12</v>
      </c>
      <c r="E94" s="4" t="s">
        <v>128</v>
      </c>
      <c r="F94" s="4" t="s">
        <v>78</v>
      </c>
      <c r="G94" s="4" t="s">
        <v>308</v>
      </c>
      <c r="H94" s="4" t="s">
        <v>85</v>
      </c>
      <c r="I94" s="4" t="s">
        <v>17</v>
      </c>
    </row>
    <row r="95" ht="42.75" spans="1:9">
      <c r="A95" s="4"/>
      <c r="B95" s="4" t="s">
        <v>309</v>
      </c>
      <c r="C95" s="4" t="s">
        <v>310</v>
      </c>
      <c r="D95" s="4" t="s">
        <v>29</v>
      </c>
      <c r="E95" s="4" t="s">
        <v>128</v>
      </c>
      <c r="F95" s="4" t="s">
        <v>78</v>
      </c>
      <c r="G95" s="4" t="s">
        <v>311</v>
      </c>
      <c r="H95" s="4" t="s">
        <v>85</v>
      </c>
      <c r="I95" s="4" t="s">
        <v>17</v>
      </c>
    </row>
    <row r="96" ht="59.25" spans="1:9">
      <c r="A96" s="4"/>
      <c r="B96" s="4" t="s">
        <v>312</v>
      </c>
      <c r="C96" s="4" t="s">
        <v>313</v>
      </c>
      <c r="D96" s="4" t="s">
        <v>24</v>
      </c>
      <c r="E96" s="4" t="s">
        <v>128</v>
      </c>
      <c r="F96" s="4" t="s">
        <v>78</v>
      </c>
      <c r="G96" s="4" t="s">
        <v>314</v>
      </c>
      <c r="H96" s="4" t="s">
        <v>85</v>
      </c>
      <c r="I96" s="4" t="s">
        <v>17</v>
      </c>
    </row>
    <row r="97" ht="30" spans="1:9">
      <c r="A97" s="4"/>
      <c r="B97" s="4" t="s">
        <v>315</v>
      </c>
      <c r="C97" s="4" t="s">
        <v>316</v>
      </c>
      <c r="D97" s="4" t="s">
        <v>91</v>
      </c>
      <c r="E97" s="4" t="s">
        <v>104</v>
      </c>
      <c r="F97" s="4" t="s">
        <v>78</v>
      </c>
      <c r="G97" s="4" t="s">
        <v>317</v>
      </c>
      <c r="H97" s="4" t="s">
        <v>85</v>
      </c>
      <c r="I97" s="4" t="s">
        <v>17</v>
      </c>
    </row>
    <row r="98" ht="102" spans="1:9">
      <c r="A98" s="4"/>
      <c r="B98" s="4" t="s">
        <v>318</v>
      </c>
      <c r="C98" s="4" t="s">
        <v>319</v>
      </c>
      <c r="D98" s="4" t="s">
        <v>132</v>
      </c>
      <c r="E98" s="4" t="s">
        <v>320</v>
      </c>
      <c r="F98" s="4" t="s">
        <v>78</v>
      </c>
      <c r="G98" s="4" t="s">
        <v>321</v>
      </c>
      <c r="H98" s="4" t="s">
        <v>322</v>
      </c>
      <c r="I98" s="4" t="s">
        <v>201</v>
      </c>
    </row>
    <row r="99" ht="28.5" spans="1:9">
      <c r="A99" s="4" t="s">
        <v>323</v>
      </c>
      <c r="B99" s="4"/>
      <c r="C99" s="4"/>
      <c r="D99" s="4"/>
      <c r="E99" s="4"/>
      <c r="F99" s="4"/>
      <c r="G99" s="4"/>
      <c r="H99" s="4"/>
      <c r="I99" s="4"/>
    </row>
    <row r="100" ht="147" spans="1:9">
      <c r="A100" s="4"/>
      <c r="B100" s="4" t="s">
        <v>324</v>
      </c>
      <c r="C100" s="4" t="s">
        <v>325</v>
      </c>
      <c r="D100" s="4" t="s">
        <v>24</v>
      </c>
      <c r="E100" s="4" t="s">
        <v>326</v>
      </c>
      <c r="F100" s="4" t="s">
        <v>78</v>
      </c>
      <c r="G100" s="4" t="s">
        <v>327</v>
      </c>
      <c r="H100" s="4" t="s">
        <v>85</v>
      </c>
      <c r="I100" s="4" t="s">
        <v>17</v>
      </c>
    </row>
    <row r="101" ht="45" spans="1:9">
      <c r="A101" s="4"/>
      <c r="B101" s="4" t="s">
        <v>328</v>
      </c>
      <c r="C101" s="4" t="s">
        <v>329</v>
      </c>
      <c r="D101" s="4" t="s">
        <v>91</v>
      </c>
      <c r="E101" s="4" t="s">
        <v>104</v>
      </c>
      <c r="F101" s="4" t="s">
        <v>78</v>
      </c>
      <c r="G101" s="4" t="s">
        <v>317</v>
      </c>
      <c r="H101" s="4" t="s">
        <v>85</v>
      </c>
      <c r="I101" s="4" t="s">
        <v>17</v>
      </c>
    </row>
    <row r="102" ht="45" spans="1:9">
      <c r="A102" s="4"/>
      <c r="B102" s="4" t="s">
        <v>330</v>
      </c>
      <c r="C102" s="4" t="s">
        <v>331</v>
      </c>
      <c r="D102" s="4" t="s">
        <v>24</v>
      </c>
      <c r="E102" s="4" t="s">
        <v>104</v>
      </c>
      <c r="F102" s="4" t="s">
        <v>78</v>
      </c>
      <c r="G102" s="4" t="s">
        <v>332</v>
      </c>
      <c r="H102" s="4" t="s">
        <v>85</v>
      </c>
      <c r="I102" s="4" t="s">
        <v>17</v>
      </c>
    </row>
    <row r="103" ht="45" spans="1:9">
      <c r="A103" s="4"/>
      <c r="B103" s="4" t="s">
        <v>333</v>
      </c>
      <c r="C103" s="4" t="s">
        <v>334</v>
      </c>
      <c r="D103" s="4" t="s">
        <v>263</v>
      </c>
      <c r="E103" s="4" t="s">
        <v>335</v>
      </c>
      <c r="F103" s="4" t="s">
        <v>78</v>
      </c>
      <c r="G103" s="4" t="s">
        <v>336</v>
      </c>
      <c r="H103" s="4" t="s">
        <v>85</v>
      </c>
      <c r="I103" s="4" t="s">
        <v>17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9"/>
  <sheetViews>
    <sheetView tabSelected="1" topLeftCell="A22" workbookViewId="0">
      <selection activeCell="F32" sqref="F32"/>
    </sheetView>
  </sheetViews>
  <sheetFormatPr defaultColWidth="9" defaultRowHeight="13.5"/>
  <cols>
    <col min="6" max="6" width="21.625" customWidth="1"/>
    <col min="7" max="7" width="24.875" customWidth="1"/>
    <col min="8" max="8" width="19.375" customWidth="1"/>
    <col min="9" max="9" width="20.875" customWidth="1"/>
    <col min="10" max="10" width="21" customWidth="1"/>
    <col min="11" max="11" width="29.875" customWidth="1"/>
  </cols>
  <sheetData>
    <row r="1" ht="42.75" spans="1:11">
      <c r="A1" s="1" t="s">
        <v>337</v>
      </c>
      <c r="B1" s="1" t="s">
        <v>338</v>
      </c>
      <c r="C1" s="1" t="s">
        <v>339</v>
      </c>
      <c r="D1" s="1" t="s">
        <v>340</v>
      </c>
      <c r="E1" s="1" t="s">
        <v>341</v>
      </c>
      <c r="F1" s="1" t="s">
        <v>342</v>
      </c>
      <c r="G1" s="1" t="s">
        <v>343</v>
      </c>
      <c r="H1" s="1" t="s">
        <v>344</v>
      </c>
      <c r="I1" s="1" t="s">
        <v>345</v>
      </c>
      <c r="J1" s="1" t="s">
        <v>346</v>
      </c>
      <c r="K1" s="1" t="s">
        <v>347</v>
      </c>
    </row>
    <row r="2" ht="44.25" spans="1:11">
      <c r="A2" s="2" t="s">
        <v>348</v>
      </c>
      <c r="B2" s="2" t="s">
        <v>349</v>
      </c>
      <c r="C2" s="2" t="s">
        <v>350</v>
      </c>
      <c r="D2" s="2" t="s">
        <v>351</v>
      </c>
      <c r="E2" s="3">
        <v>0.4</v>
      </c>
      <c r="F2" s="4" t="s">
        <v>352</v>
      </c>
      <c r="G2" s="5" t="s">
        <v>114</v>
      </c>
      <c r="H2" s="4" t="str">
        <f>"北京-上海"</f>
        <v>北京-上海</v>
      </c>
      <c r="I2" s="4" t="s">
        <v>83</v>
      </c>
      <c r="J2" s="4" t="s">
        <v>353</v>
      </c>
      <c r="K2" s="4" t="s">
        <v>354</v>
      </c>
    </row>
    <row r="3" ht="30" spans="1:11">
      <c r="A3" s="6"/>
      <c r="B3" s="6"/>
      <c r="C3" s="6"/>
      <c r="D3" s="6"/>
      <c r="E3" s="7"/>
      <c r="F3" s="4" t="s">
        <v>355</v>
      </c>
      <c r="G3" s="5" t="s">
        <v>117</v>
      </c>
      <c r="H3" s="4" t="s">
        <v>356</v>
      </c>
      <c r="I3" s="4" t="s">
        <v>118</v>
      </c>
      <c r="J3" s="4"/>
      <c r="K3" s="4"/>
    </row>
    <row r="4" ht="25.5" spans="1:11">
      <c r="A4" s="6"/>
      <c r="B4" s="6"/>
      <c r="C4" s="6"/>
      <c r="D4" s="6"/>
      <c r="E4" s="7"/>
      <c r="F4" s="4" t="s">
        <v>357</v>
      </c>
      <c r="G4" s="5" t="s">
        <v>124</v>
      </c>
      <c r="H4" s="4" t="e" cm="1">
        <f t="array" ref="H4">≤3天</f>
        <v>#NAME?</v>
      </c>
      <c r="I4" s="4" t="s">
        <v>358</v>
      </c>
      <c r="J4" s="4"/>
      <c r="K4" s="4"/>
    </row>
    <row r="5" ht="25.5" spans="1:11">
      <c r="A5" s="6"/>
      <c r="B5" s="8"/>
      <c r="C5" s="8"/>
      <c r="D5" s="8"/>
      <c r="E5" s="9"/>
      <c r="F5" s="4" t="s">
        <v>359</v>
      </c>
      <c r="G5" s="5" t="s">
        <v>175</v>
      </c>
      <c r="H5" s="4" t="e" cm="1">
        <f t="array" ref="H5">是</f>
        <v>#NAME?</v>
      </c>
      <c r="I5" s="4" t="s">
        <v>56</v>
      </c>
      <c r="J5" s="4"/>
      <c r="K5" s="4"/>
    </row>
    <row r="6" ht="57.75" spans="1:11">
      <c r="A6" s="6"/>
      <c r="B6" s="2" t="s">
        <v>360</v>
      </c>
      <c r="C6" s="4" t="s">
        <v>361</v>
      </c>
      <c r="D6" s="10" t="s">
        <v>351</v>
      </c>
      <c r="E6" s="11">
        <v>0.35</v>
      </c>
      <c r="F6" s="4" t="s">
        <v>142</v>
      </c>
      <c r="G6" s="5" t="s">
        <v>146</v>
      </c>
      <c r="H6" s="4" t="s">
        <v>362</v>
      </c>
      <c r="I6" s="4" t="s">
        <v>363</v>
      </c>
      <c r="J6" s="4" t="s">
        <v>364</v>
      </c>
      <c r="K6" s="4" t="s">
        <v>365</v>
      </c>
    </row>
    <row r="7" ht="29.25" spans="1:11">
      <c r="A7" s="6"/>
      <c r="B7" s="6"/>
      <c r="C7" s="4"/>
      <c r="D7" s="12"/>
      <c r="E7" s="13"/>
      <c r="F7" s="4" t="s">
        <v>366</v>
      </c>
      <c r="G7" s="5" t="s">
        <v>111</v>
      </c>
      <c r="H7" s="4" t="s">
        <v>367</v>
      </c>
      <c r="I7" s="4" t="s">
        <v>83</v>
      </c>
      <c r="J7" s="4"/>
      <c r="K7" s="4"/>
    </row>
    <row r="8" ht="38.25" spans="1:11">
      <c r="A8" s="6"/>
      <c r="B8" s="6"/>
      <c r="C8" s="4"/>
      <c r="D8" s="12"/>
      <c r="E8" s="13"/>
      <c r="F8" s="4" t="s">
        <v>359</v>
      </c>
      <c r="G8" s="5" t="s">
        <v>159</v>
      </c>
      <c r="H8" s="4" t="e" cm="1">
        <f t="array" ref="H8">是</f>
        <v>#NAME?</v>
      </c>
      <c r="I8" s="4" t="s">
        <v>56</v>
      </c>
      <c r="J8" s="4"/>
      <c r="K8" s="4"/>
    </row>
    <row r="9" ht="25.5" spans="1:11">
      <c r="A9" s="6"/>
      <c r="B9" s="8"/>
      <c r="C9" s="4"/>
      <c r="D9" s="14"/>
      <c r="E9" s="15"/>
      <c r="F9" s="4" t="s">
        <v>359</v>
      </c>
      <c r="G9" s="5" t="s">
        <v>170</v>
      </c>
      <c r="H9" s="4" t="e" cm="1">
        <f t="array" ref="H9">是</f>
        <v>#NAME?</v>
      </c>
      <c r="I9" s="4" t="s">
        <v>56</v>
      </c>
      <c r="J9" s="4"/>
      <c r="K9" s="4"/>
    </row>
    <row r="10" ht="43.5" spans="1:11">
      <c r="A10" s="6"/>
      <c r="B10" s="2" t="s">
        <v>368</v>
      </c>
      <c r="C10" s="4" t="s">
        <v>369</v>
      </c>
      <c r="D10" s="10" t="s">
        <v>370</v>
      </c>
      <c r="E10" s="11">
        <v>0.25</v>
      </c>
      <c r="F10" s="4" t="s">
        <v>371</v>
      </c>
      <c r="G10" s="5" t="s">
        <v>223</v>
      </c>
      <c r="H10" s="4" t="s">
        <v>372</v>
      </c>
      <c r="I10" s="4" t="s">
        <v>373</v>
      </c>
      <c r="J10" s="4" t="s">
        <v>374</v>
      </c>
      <c r="K10" s="4" t="s">
        <v>375</v>
      </c>
    </row>
    <row r="11" ht="45" spans="1:11">
      <c r="A11" s="6"/>
      <c r="B11" s="6"/>
      <c r="C11" s="4"/>
      <c r="D11" s="12"/>
      <c r="E11" s="13"/>
      <c r="F11" s="4" t="s">
        <v>376</v>
      </c>
      <c r="G11" s="5" t="s">
        <v>207</v>
      </c>
      <c r="H11" s="4" t="s">
        <v>377</v>
      </c>
      <c r="I11" s="4" t="s">
        <v>373</v>
      </c>
      <c r="J11" s="4"/>
      <c r="K11" s="4"/>
    </row>
    <row r="12" ht="28.5" spans="1:11">
      <c r="A12" s="6"/>
      <c r="B12" s="6"/>
      <c r="C12" s="4"/>
      <c r="D12" s="12"/>
      <c r="E12" s="13"/>
      <c r="F12" s="4" t="s">
        <v>216</v>
      </c>
      <c r="G12" s="5" t="s">
        <v>217</v>
      </c>
      <c r="H12" s="4" t="s">
        <v>378</v>
      </c>
      <c r="I12" s="4" t="s">
        <v>379</v>
      </c>
      <c r="J12" s="4"/>
      <c r="K12" s="4"/>
    </row>
    <row r="13" ht="45" spans="1:11">
      <c r="A13" s="8"/>
      <c r="B13" s="8"/>
      <c r="C13" s="4"/>
      <c r="D13" s="14"/>
      <c r="E13" s="15"/>
      <c r="F13" s="4" t="s">
        <v>359</v>
      </c>
      <c r="G13" s="5" t="s">
        <v>186</v>
      </c>
      <c r="H13" s="4" t="s">
        <v>380</v>
      </c>
      <c r="I13" s="4" t="s">
        <v>118</v>
      </c>
      <c r="J13" s="4"/>
      <c r="K13" s="4"/>
    </row>
    <row r="14" ht="58.5" spans="1:11">
      <c r="A14" s="2" t="s">
        <v>381</v>
      </c>
      <c r="B14" s="2" t="s">
        <v>382</v>
      </c>
      <c r="C14" s="2" t="s">
        <v>383</v>
      </c>
      <c r="D14" s="10" t="s">
        <v>351</v>
      </c>
      <c r="E14" s="11">
        <v>0.45</v>
      </c>
      <c r="F14" s="4" t="s">
        <v>384</v>
      </c>
      <c r="G14" s="5" t="s">
        <v>189</v>
      </c>
      <c r="H14" s="4" t="e" cm="1">
        <f t="array" ref="H14">企业差旅平台</f>
        <v>#NAME?</v>
      </c>
      <c r="I14" s="4" t="s">
        <v>118</v>
      </c>
      <c r="J14" s="4" t="s">
        <v>385</v>
      </c>
      <c r="K14" s="4" t="s">
        <v>386</v>
      </c>
    </row>
    <row r="15" ht="28.5" spans="1:11">
      <c r="A15" s="6"/>
      <c r="B15" s="6"/>
      <c r="C15" s="6"/>
      <c r="D15" s="12"/>
      <c r="E15" s="13"/>
      <c r="F15" s="4" t="s">
        <v>86</v>
      </c>
      <c r="G15" s="5" t="s">
        <v>87</v>
      </c>
      <c r="H15" s="4" t="s">
        <v>387</v>
      </c>
      <c r="I15" s="4" t="s">
        <v>388</v>
      </c>
      <c r="J15" s="4"/>
      <c r="K15" s="4"/>
    </row>
    <row r="16" ht="25.5" spans="1:11">
      <c r="A16" s="6"/>
      <c r="B16" s="6"/>
      <c r="C16" s="6"/>
      <c r="D16" s="12"/>
      <c r="E16" s="13"/>
      <c r="F16" s="4" t="s">
        <v>142</v>
      </c>
      <c r="G16" s="5" t="s">
        <v>143</v>
      </c>
      <c r="H16" s="4" t="e" cm="1">
        <f t="array" ref="H16">经济舱</f>
        <v>#NAME?</v>
      </c>
      <c r="I16" s="4" t="s">
        <v>363</v>
      </c>
      <c r="J16" s="4"/>
      <c r="K16" s="4"/>
    </row>
    <row r="17" ht="25.5" spans="1:11">
      <c r="A17" s="6"/>
      <c r="B17" s="8"/>
      <c r="C17" s="8"/>
      <c r="D17" s="14"/>
      <c r="E17" s="15"/>
      <c r="F17" s="4" t="s">
        <v>355</v>
      </c>
      <c r="G17" s="5" t="s">
        <v>121</v>
      </c>
      <c r="H17" s="4" t="e" cm="1">
        <f t="array" ref="H17">工作日</f>
        <v>#NAME?</v>
      </c>
      <c r="I17" s="4" t="s">
        <v>358</v>
      </c>
      <c r="J17" s="4"/>
      <c r="K17" s="4"/>
    </row>
    <row r="18" ht="43.5" spans="1:11">
      <c r="A18" s="6"/>
      <c r="B18" s="2" t="s">
        <v>389</v>
      </c>
      <c r="C18" s="2" t="s">
        <v>390</v>
      </c>
      <c r="D18" s="10" t="s">
        <v>370</v>
      </c>
      <c r="E18" s="11">
        <v>0.3</v>
      </c>
      <c r="F18" s="4" t="s">
        <v>384</v>
      </c>
      <c r="G18" s="5" t="s">
        <v>189</v>
      </c>
      <c r="H18" s="4" t="s">
        <v>391</v>
      </c>
      <c r="I18" s="4" t="s">
        <v>118</v>
      </c>
      <c r="J18" s="4" t="s">
        <v>392</v>
      </c>
      <c r="K18" s="4" t="s">
        <v>393</v>
      </c>
    </row>
    <row r="19" ht="28.5" spans="1:11">
      <c r="A19" s="6"/>
      <c r="B19" s="6"/>
      <c r="C19" s="6"/>
      <c r="D19" s="12"/>
      <c r="E19" s="13"/>
      <c r="F19" s="4" t="s">
        <v>86</v>
      </c>
      <c r="G19" s="5" t="s">
        <v>87</v>
      </c>
      <c r="H19" s="4" t="s">
        <v>394</v>
      </c>
      <c r="I19" s="4" t="s">
        <v>388</v>
      </c>
      <c r="J19" s="4"/>
      <c r="K19" s="4"/>
    </row>
    <row r="20" ht="38.25" spans="1:11">
      <c r="A20" s="6"/>
      <c r="B20" s="6"/>
      <c r="C20" s="6"/>
      <c r="D20" s="12"/>
      <c r="E20" s="13"/>
      <c r="F20" s="4" t="s">
        <v>395</v>
      </c>
      <c r="G20" s="5" t="s">
        <v>159</v>
      </c>
      <c r="H20" s="4" t="e" cm="1">
        <f t="array" ref="H20">偶尔</f>
        <v>#NAME?</v>
      </c>
      <c r="I20" s="4" t="s">
        <v>56</v>
      </c>
      <c r="J20" s="4"/>
      <c r="K20" s="4"/>
    </row>
    <row r="21" ht="28.5" spans="1:11">
      <c r="A21" s="6"/>
      <c r="B21" s="8"/>
      <c r="C21" s="8"/>
      <c r="D21" s="14"/>
      <c r="E21" s="15"/>
      <c r="F21" s="4" t="s">
        <v>396</v>
      </c>
      <c r="G21" s="5" t="s">
        <v>397</v>
      </c>
      <c r="H21" s="4" t="e" cm="1">
        <f t="array" ref="H21">中</f>
        <v>#NAME?</v>
      </c>
      <c r="I21" s="4" t="s">
        <v>118</v>
      </c>
      <c r="J21" s="4"/>
      <c r="K21" s="4"/>
    </row>
    <row r="22" ht="43.5" spans="1:11">
      <c r="A22" s="6"/>
      <c r="B22" s="2" t="s">
        <v>398</v>
      </c>
      <c r="C22" s="2" t="s">
        <v>399</v>
      </c>
      <c r="D22" s="10" t="s">
        <v>351</v>
      </c>
      <c r="E22" s="11">
        <v>0.25</v>
      </c>
      <c r="F22" s="4" t="s">
        <v>400</v>
      </c>
      <c r="G22" s="5" t="s">
        <v>107</v>
      </c>
      <c r="H22" s="4" t="s">
        <v>401</v>
      </c>
      <c r="I22" s="4" t="s">
        <v>83</v>
      </c>
      <c r="J22" s="4" t="s">
        <v>402</v>
      </c>
      <c r="K22" s="4" t="s">
        <v>403</v>
      </c>
    </row>
    <row r="23" ht="28.5" spans="1:11">
      <c r="A23" s="6"/>
      <c r="B23" s="6"/>
      <c r="C23" s="6"/>
      <c r="D23" s="12"/>
      <c r="E23" s="13"/>
      <c r="F23" s="4" t="s">
        <v>86</v>
      </c>
      <c r="G23" s="5" t="s">
        <v>87</v>
      </c>
      <c r="H23" s="4" t="s">
        <v>404</v>
      </c>
      <c r="I23" s="4" t="s">
        <v>388</v>
      </c>
      <c r="J23" s="4"/>
      <c r="K23" s="4"/>
    </row>
    <row r="24" ht="25.5" spans="1:11">
      <c r="A24" s="6"/>
      <c r="B24" s="6"/>
      <c r="C24" s="6"/>
      <c r="D24" s="12"/>
      <c r="E24" s="13"/>
      <c r="F24" s="4" t="s">
        <v>405</v>
      </c>
      <c r="G24" s="5" t="s">
        <v>127</v>
      </c>
      <c r="H24" s="4" t="e" cm="1">
        <f t="array" ref="H24">商务</f>
        <v>#NAME?</v>
      </c>
      <c r="I24" s="4" t="s">
        <v>128</v>
      </c>
      <c r="J24" s="4"/>
      <c r="K24" s="4"/>
    </row>
    <row r="25" ht="25.5" spans="1:11">
      <c r="A25" s="8"/>
      <c r="B25" s="8"/>
      <c r="C25" s="8"/>
      <c r="D25" s="14"/>
      <c r="E25" s="15"/>
      <c r="F25" s="4" t="s">
        <v>357</v>
      </c>
      <c r="G25" s="5" t="s">
        <v>124</v>
      </c>
      <c r="H25" s="4" t="s">
        <v>406</v>
      </c>
      <c r="I25" s="4" t="s">
        <v>358</v>
      </c>
      <c r="J25" s="4"/>
      <c r="K25" s="4"/>
    </row>
    <row r="26" ht="43.5" spans="1:11">
      <c r="A26" s="2" t="s">
        <v>407</v>
      </c>
      <c r="B26" s="2" t="s">
        <v>408</v>
      </c>
      <c r="C26" s="2" t="s">
        <v>409</v>
      </c>
      <c r="D26" s="10" t="s">
        <v>370</v>
      </c>
      <c r="E26" s="11">
        <v>0.3</v>
      </c>
      <c r="F26" s="4" t="s">
        <v>410</v>
      </c>
      <c r="G26" s="5" t="s">
        <v>135</v>
      </c>
      <c r="H26" s="4" t="e" cm="1">
        <f t="array" ref="H26">是</f>
        <v>#NAME?</v>
      </c>
      <c r="I26" s="4" t="s">
        <v>118</v>
      </c>
      <c r="J26" s="4" t="s">
        <v>411</v>
      </c>
      <c r="K26" s="4" t="s">
        <v>412</v>
      </c>
    </row>
    <row r="27" ht="25.5" spans="1:11">
      <c r="A27" s="6"/>
      <c r="B27" s="6"/>
      <c r="C27" s="6"/>
      <c r="D27" s="12"/>
      <c r="E27" s="13"/>
      <c r="F27" s="4" t="s">
        <v>413</v>
      </c>
      <c r="G27" s="5" t="s">
        <v>131</v>
      </c>
      <c r="H27" s="4" t="e" cm="1">
        <f t="array" ref="H27">家庭(含儿童)</f>
        <v>#NAME?</v>
      </c>
      <c r="I27" s="4" t="s">
        <v>118</v>
      </c>
      <c r="J27" s="4"/>
      <c r="K27" s="4"/>
    </row>
    <row r="28" ht="38.25" spans="1:11">
      <c r="A28" s="6"/>
      <c r="B28" s="6"/>
      <c r="C28" s="6"/>
      <c r="D28" s="12"/>
      <c r="E28" s="13"/>
      <c r="F28" s="4" t="s">
        <v>359</v>
      </c>
      <c r="G28" s="5" t="s">
        <v>167</v>
      </c>
      <c r="H28" s="4" t="e" cm="1">
        <f t="array" ref="H28">是</f>
        <v>#NAME?</v>
      </c>
      <c r="I28" s="4" t="s">
        <v>56</v>
      </c>
      <c r="J28" s="4"/>
      <c r="K28" s="4"/>
    </row>
    <row r="29" ht="45" spans="1:11">
      <c r="A29" s="6"/>
      <c r="B29" s="8"/>
      <c r="C29" s="8"/>
      <c r="D29" s="12"/>
      <c r="E29" s="15"/>
      <c r="F29" s="4" t="s">
        <v>414</v>
      </c>
      <c r="G29" s="5" t="s">
        <v>284</v>
      </c>
      <c r="H29" s="4" t="s">
        <v>415</v>
      </c>
      <c r="I29" s="4" t="s">
        <v>416</v>
      </c>
      <c r="J29" s="4"/>
      <c r="K29" s="4"/>
    </row>
    <row r="30" ht="43.5" spans="1:11">
      <c r="A30" s="6"/>
      <c r="B30" s="2" t="s">
        <v>417</v>
      </c>
      <c r="C30" s="2" t="s">
        <v>418</v>
      </c>
      <c r="D30" s="12"/>
      <c r="E30" s="11">
        <v>0.2</v>
      </c>
      <c r="F30" s="4" t="s">
        <v>419</v>
      </c>
      <c r="G30" s="5" t="s">
        <v>420</v>
      </c>
      <c r="H30" s="4" t="s">
        <v>421</v>
      </c>
      <c r="I30" s="4" t="s">
        <v>422</v>
      </c>
      <c r="J30" s="4" t="s">
        <v>423</v>
      </c>
      <c r="K30" s="4" t="s">
        <v>424</v>
      </c>
    </row>
    <row r="31" ht="15" spans="1:11">
      <c r="A31" s="6"/>
      <c r="B31" s="6"/>
      <c r="C31" s="6"/>
      <c r="D31" s="12"/>
      <c r="E31" s="13"/>
      <c r="F31" s="4" t="s">
        <v>425</v>
      </c>
      <c r="G31" s="5" t="s">
        <v>64</v>
      </c>
      <c r="H31" s="4" t="e" cm="1">
        <f t="array" ref="H31">退休</f>
        <v>#NAME?</v>
      </c>
      <c r="I31" s="4" t="s">
        <v>20</v>
      </c>
      <c r="J31" s="4"/>
      <c r="K31" s="4"/>
    </row>
    <row r="32" ht="45" spans="1:11">
      <c r="A32" s="6"/>
      <c r="B32" s="6"/>
      <c r="C32" s="6"/>
      <c r="D32" s="12"/>
      <c r="E32" s="13"/>
      <c r="F32" s="4" t="s">
        <v>413</v>
      </c>
      <c r="G32" s="5" t="s">
        <v>131</v>
      </c>
      <c r="H32" s="4" t="s">
        <v>426</v>
      </c>
      <c r="I32" s="4" t="s">
        <v>118</v>
      </c>
      <c r="J32" s="4"/>
      <c r="K32" s="4"/>
    </row>
    <row r="33" ht="25.5" spans="1:11">
      <c r="A33" s="6"/>
      <c r="B33" s="8"/>
      <c r="C33" s="8"/>
      <c r="D33" s="12"/>
      <c r="E33" s="15"/>
      <c r="F33" s="4" t="s">
        <v>357</v>
      </c>
      <c r="G33" s="5" t="s">
        <v>124</v>
      </c>
      <c r="H33" s="4" t="s">
        <v>427</v>
      </c>
      <c r="I33" s="4" t="s">
        <v>358</v>
      </c>
      <c r="J33" s="4"/>
      <c r="K33" s="4"/>
    </row>
    <row r="34" ht="57.75" spans="1:11">
      <c r="A34" s="6"/>
      <c r="B34" s="2" t="s">
        <v>428</v>
      </c>
      <c r="C34" s="2" t="s">
        <v>429</v>
      </c>
      <c r="D34" s="12"/>
      <c r="E34" s="11">
        <v>0.25</v>
      </c>
      <c r="F34" s="4" t="s">
        <v>419</v>
      </c>
      <c r="G34" s="5" t="s">
        <v>420</v>
      </c>
      <c r="H34" s="4" t="s">
        <v>430</v>
      </c>
      <c r="I34" s="4" t="s">
        <v>422</v>
      </c>
      <c r="J34" s="4" t="s">
        <v>431</v>
      </c>
      <c r="K34" s="4" t="s">
        <v>432</v>
      </c>
    </row>
    <row r="35" ht="30" spans="1:11">
      <c r="A35" s="6"/>
      <c r="B35" s="6"/>
      <c r="C35" s="6"/>
      <c r="D35" s="12"/>
      <c r="E35" s="13"/>
      <c r="F35" s="4" t="s">
        <v>413</v>
      </c>
      <c r="G35" s="5" t="s">
        <v>131</v>
      </c>
      <c r="H35" s="4" t="s">
        <v>433</v>
      </c>
      <c r="I35" s="4" t="s">
        <v>118</v>
      </c>
      <c r="J35" s="4"/>
      <c r="K35" s="4"/>
    </row>
    <row r="36" ht="25.5" spans="1:11">
      <c r="A36" s="6"/>
      <c r="B36" s="6"/>
      <c r="C36" s="6"/>
      <c r="D36" s="12"/>
      <c r="E36" s="13"/>
      <c r="F36" s="4" t="s">
        <v>434</v>
      </c>
      <c r="G36" s="5" t="s">
        <v>199</v>
      </c>
      <c r="H36" s="4" t="e" cm="1">
        <f t="array" ref="H36">是</f>
        <v>#NAME?</v>
      </c>
      <c r="I36" s="4" t="s">
        <v>20</v>
      </c>
      <c r="J36" s="4"/>
      <c r="K36" s="4"/>
    </row>
    <row r="37" ht="45" spans="1:11">
      <c r="A37" s="6"/>
      <c r="B37" s="8"/>
      <c r="C37" s="8"/>
      <c r="D37" s="12"/>
      <c r="E37" s="13"/>
      <c r="F37" s="4" t="s">
        <v>414</v>
      </c>
      <c r="G37" s="5" t="s">
        <v>284</v>
      </c>
      <c r="H37" s="4" t="s">
        <v>435</v>
      </c>
      <c r="I37" s="4" t="s">
        <v>416</v>
      </c>
      <c r="J37" s="4"/>
      <c r="K37" s="4"/>
    </row>
    <row r="38" ht="59.25" spans="1:11">
      <c r="A38" s="6"/>
      <c r="B38" s="2" t="s">
        <v>436</v>
      </c>
      <c r="C38" s="2" t="s">
        <v>437</v>
      </c>
      <c r="D38" s="12"/>
      <c r="E38" s="13"/>
      <c r="F38" s="4" t="s">
        <v>438</v>
      </c>
      <c r="G38" s="5" t="s">
        <v>295</v>
      </c>
      <c r="H38" s="4" t="e" cm="1">
        <f t="array" ref="H38">高频</f>
        <v>#NAME?</v>
      </c>
      <c r="I38" s="4" t="s">
        <v>416</v>
      </c>
      <c r="J38" s="4" t="s">
        <v>439</v>
      </c>
      <c r="K38" s="4" t="s">
        <v>440</v>
      </c>
    </row>
    <row r="39" ht="25.5" spans="1:11">
      <c r="A39" s="6"/>
      <c r="B39" s="6"/>
      <c r="C39" s="6"/>
      <c r="D39" s="12"/>
      <c r="E39" s="13"/>
      <c r="F39" s="4" t="s">
        <v>357</v>
      </c>
      <c r="G39" s="5" t="s">
        <v>124</v>
      </c>
      <c r="H39" s="4" t="s">
        <v>427</v>
      </c>
      <c r="I39" s="4" t="s">
        <v>358</v>
      </c>
      <c r="J39" s="4"/>
      <c r="K39" s="4"/>
    </row>
    <row r="40" ht="25.5" spans="1:11">
      <c r="A40" s="6"/>
      <c r="B40" s="6"/>
      <c r="C40" s="6"/>
      <c r="D40" s="12"/>
      <c r="E40" s="13"/>
      <c r="F40" s="4" t="s">
        <v>441</v>
      </c>
      <c r="G40" s="5" t="s">
        <v>182</v>
      </c>
      <c r="H40" s="4" t="e" cm="1">
        <f t="array" ref="H40">是</f>
        <v>#NAME?</v>
      </c>
      <c r="I40" s="4" t="s">
        <v>56</v>
      </c>
      <c r="J40" s="4"/>
      <c r="K40" s="4"/>
    </row>
    <row r="41" ht="44.25" spans="1:11">
      <c r="A41" s="8"/>
      <c r="B41" s="8"/>
      <c r="C41" s="8"/>
      <c r="D41" s="12"/>
      <c r="E41" s="15"/>
      <c r="F41" s="4" t="s">
        <v>442</v>
      </c>
      <c r="G41" s="5" t="s">
        <v>319</v>
      </c>
      <c r="H41" s="4" t="s">
        <v>443</v>
      </c>
      <c r="I41" s="4" t="s">
        <v>444</v>
      </c>
      <c r="J41" s="4"/>
      <c r="K41" s="4"/>
    </row>
    <row r="42" ht="45" spans="1:11">
      <c r="A42" s="2" t="s">
        <v>445</v>
      </c>
      <c r="B42" s="2" t="s">
        <v>446</v>
      </c>
      <c r="C42" s="2" t="s">
        <v>447</v>
      </c>
      <c r="D42" s="12"/>
      <c r="E42" s="11">
        <v>0.4</v>
      </c>
      <c r="F42" s="4" t="s">
        <v>142</v>
      </c>
      <c r="G42" s="5" t="s">
        <v>143</v>
      </c>
      <c r="H42" s="4" t="s">
        <v>448</v>
      </c>
      <c r="I42" s="4" t="s">
        <v>363</v>
      </c>
      <c r="J42" s="4" t="s">
        <v>449</v>
      </c>
      <c r="K42" s="4" t="s">
        <v>450</v>
      </c>
    </row>
    <row r="43" ht="25.5" spans="1:11">
      <c r="A43" s="6"/>
      <c r="B43" s="6"/>
      <c r="C43" s="6"/>
      <c r="D43" s="12"/>
      <c r="E43" s="13"/>
      <c r="F43" s="4" t="s">
        <v>359</v>
      </c>
      <c r="G43" s="5" t="s">
        <v>175</v>
      </c>
      <c r="H43" s="4" t="e" cm="1">
        <f t="array" ref="H43">是</f>
        <v>#NAME?</v>
      </c>
      <c r="I43" s="4" t="s">
        <v>56</v>
      </c>
      <c r="J43" s="4"/>
      <c r="K43" s="4"/>
    </row>
    <row r="44" ht="25.5" spans="1:11">
      <c r="A44" s="6"/>
      <c r="B44" s="6"/>
      <c r="C44" s="6"/>
      <c r="D44" s="12"/>
      <c r="E44" s="13"/>
      <c r="F44" s="4" t="s">
        <v>359</v>
      </c>
      <c r="G44" s="5" t="s">
        <v>170</v>
      </c>
      <c r="H44" s="4" t="e" cm="1">
        <f t="array" ref="H44">是</f>
        <v>#NAME?</v>
      </c>
      <c r="I44" s="4" t="s">
        <v>56</v>
      </c>
      <c r="J44" s="4"/>
      <c r="K44" s="4"/>
    </row>
    <row r="45" ht="28.5" spans="1:11">
      <c r="A45" s="6"/>
      <c r="B45" s="8"/>
      <c r="C45" s="8"/>
      <c r="D45" s="12"/>
      <c r="E45" s="15"/>
      <c r="F45" s="4" t="s">
        <v>86</v>
      </c>
      <c r="G45" s="5" t="s">
        <v>87</v>
      </c>
      <c r="H45" s="4" t="s">
        <v>451</v>
      </c>
      <c r="I45" s="4" t="s">
        <v>388</v>
      </c>
      <c r="J45" s="4"/>
      <c r="K45" s="4"/>
    </row>
    <row r="46" ht="59.25" spans="1:11">
      <c r="A46" s="6"/>
      <c r="B46" s="2" t="s">
        <v>452</v>
      </c>
      <c r="C46" s="2" t="s">
        <v>453</v>
      </c>
      <c r="D46" s="12"/>
      <c r="E46" s="11">
        <v>0.3</v>
      </c>
      <c r="F46" s="4" t="s">
        <v>441</v>
      </c>
      <c r="G46" s="5" t="s">
        <v>182</v>
      </c>
      <c r="H46" s="4" t="e" cm="1">
        <f t="array" ref="H46">是</f>
        <v>#NAME?</v>
      </c>
      <c r="I46" s="4" t="s">
        <v>56</v>
      </c>
      <c r="J46" s="4" t="s">
        <v>454</v>
      </c>
      <c r="K46" s="4" t="s">
        <v>455</v>
      </c>
    </row>
    <row r="47" ht="25.5" spans="1:11">
      <c r="A47" s="6"/>
      <c r="B47" s="6"/>
      <c r="C47" s="6"/>
      <c r="D47" s="12"/>
      <c r="E47" s="13"/>
      <c r="F47" s="4" t="s">
        <v>434</v>
      </c>
      <c r="G47" s="5" t="s">
        <v>199</v>
      </c>
      <c r="H47" s="4" t="e" cm="1">
        <f t="array" ref="H47">是</f>
        <v>#NAME?</v>
      </c>
      <c r="I47" s="4" t="s">
        <v>20</v>
      </c>
      <c r="J47" s="4"/>
      <c r="K47" s="4"/>
    </row>
    <row r="48" ht="30" spans="1:11">
      <c r="A48" s="6"/>
      <c r="B48" s="6"/>
      <c r="C48" s="6"/>
      <c r="D48" s="12"/>
      <c r="E48" s="13"/>
      <c r="F48" s="4" t="s">
        <v>359</v>
      </c>
      <c r="G48" s="5" t="s">
        <v>186</v>
      </c>
      <c r="H48" s="4" t="s">
        <v>456</v>
      </c>
      <c r="I48" s="4" t="s">
        <v>118</v>
      </c>
      <c r="J48" s="4"/>
      <c r="K48" s="4"/>
    </row>
    <row r="49" ht="44.25" spans="1:11">
      <c r="A49" s="6"/>
      <c r="B49" s="8"/>
      <c r="C49" s="8"/>
      <c r="D49" s="12"/>
      <c r="E49" s="13"/>
      <c r="F49" s="4" t="s">
        <v>442</v>
      </c>
      <c r="G49" s="5" t="s">
        <v>319</v>
      </c>
      <c r="H49" s="4" t="s">
        <v>457</v>
      </c>
      <c r="I49" s="4" t="s">
        <v>444</v>
      </c>
      <c r="J49" s="4"/>
      <c r="K49" s="4"/>
    </row>
    <row r="50" ht="57.75" spans="1:11">
      <c r="A50" s="6"/>
      <c r="B50" s="2" t="s">
        <v>458</v>
      </c>
      <c r="C50" s="2" t="s">
        <v>459</v>
      </c>
      <c r="D50" s="12"/>
      <c r="E50" s="13"/>
      <c r="F50" s="4" t="s">
        <v>355</v>
      </c>
      <c r="G50" s="5" t="s">
        <v>121</v>
      </c>
      <c r="H50" s="4" t="e" cm="1">
        <f t="array" ref="H50">节假日</f>
        <v>#NAME?</v>
      </c>
      <c r="I50" s="4" t="s">
        <v>358</v>
      </c>
      <c r="J50" s="4" t="s">
        <v>460</v>
      </c>
      <c r="K50" s="4" t="s">
        <v>393</v>
      </c>
    </row>
    <row r="51" ht="28.5" spans="1:11">
      <c r="A51" s="6"/>
      <c r="B51" s="6"/>
      <c r="C51" s="6"/>
      <c r="D51" s="12"/>
      <c r="E51" s="13"/>
      <c r="F51" s="4" t="s">
        <v>86</v>
      </c>
      <c r="G51" s="5" t="s">
        <v>87</v>
      </c>
      <c r="H51" s="4" t="s">
        <v>461</v>
      </c>
      <c r="I51" s="4" t="s">
        <v>388</v>
      </c>
      <c r="J51" s="4"/>
      <c r="K51" s="4"/>
    </row>
    <row r="52" ht="28.5" spans="1:11">
      <c r="A52" s="6"/>
      <c r="B52" s="6"/>
      <c r="C52" s="6"/>
      <c r="D52" s="12"/>
      <c r="E52" s="13"/>
      <c r="F52" s="4" t="s">
        <v>216</v>
      </c>
      <c r="G52" s="5" t="s">
        <v>217</v>
      </c>
      <c r="H52" s="4" t="s">
        <v>462</v>
      </c>
      <c r="I52" s="4" t="s">
        <v>379</v>
      </c>
      <c r="J52" s="4"/>
      <c r="K52" s="4"/>
    </row>
    <row r="53" ht="29.25" spans="1:11">
      <c r="A53" s="8"/>
      <c r="B53" s="8"/>
      <c r="C53" s="8"/>
      <c r="D53" s="12"/>
      <c r="E53" s="15"/>
      <c r="F53" s="4" t="s">
        <v>357</v>
      </c>
      <c r="G53" s="5" t="s">
        <v>124</v>
      </c>
      <c r="H53" s="4" t="s">
        <v>463</v>
      </c>
      <c r="I53" s="4" t="s">
        <v>358</v>
      </c>
      <c r="J53" s="4"/>
      <c r="K53" s="4"/>
    </row>
    <row r="54" ht="43.5" spans="1:11">
      <c r="A54" s="2" t="s">
        <v>464</v>
      </c>
      <c r="B54" s="2" t="s">
        <v>465</v>
      </c>
      <c r="C54" s="2" t="s">
        <v>466</v>
      </c>
      <c r="D54" s="12"/>
      <c r="E54" s="11">
        <v>0.5</v>
      </c>
      <c r="F54" s="4" t="s">
        <v>425</v>
      </c>
      <c r="G54" s="5" t="s">
        <v>64</v>
      </c>
      <c r="H54" s="4" t="e" cm="1">
        <f t="array" ref="H54">学生</f>
        <v>#NAME?</v>
      </c>
      <c r="I54" s="4" t="s">
        <v>20</v>
      </c>
      <c r="J54" s="4" t="s">
        <v>467</v>
      </c>
      <c r="K54" s="4" t="s">
        <v>468</v>
      </c>
    </row>
    <row r="55" ht="15" spans="1:11">
      <c r="A55" s="6"/>
      <c r="B55" s="6"/>
      <c r="C55" s="6"/>
      <c r="D55" s="12"/>
      <c r="E55" s="13"/>
      <c r="F55" s="4" t="s">
        <v>419</v>
      </c>
      <c r="G55" s="5" t="s">
        <v>420</v>
      </c>
      <c r="H55" s="4" t="s">
        <v>469</v>
      </c>
      <c r="I55" s="4" t="s">
        <v>422</v>
      </c>
      <c r="J55" s="4"/>
      <c r="K55" s="4"/>
    </row>
    <row r="56" ht="28.5" spans="1:11">
      <c r="A56" s="6"/>
      <c r="B56" s="6"/>
      <c r="C56" s="6"/>
      <c r="D56" s="12"/>
      <c r="E56" s="13"/>
      <c r="F56" s="4" t="s">
        <v>86</v>
      </c>
      <c r="G56" s="5" t="s">
        <v>87</v>
      </c>
      <c r="H56" s="4" t="s">
        <v>470</v>
      </c>
      <c r="I56" s="4" t="s">
        <v>388</v>
      </c>
      <c r="J56" s="4"/>
      <c r="K56" s="4"/>
    </row>
    <row r="57" ht="25.5" spans="1:11">
      <c r="A57" s="6"/>
      <c r="B57" s="8"/>
      <c r="C57" s="8"/>
      <c r="D57" s="12"/>
      <c r="E57" s="13"/>
      <c r="F57" s="4" t="s">
        <v>357</v>
      </c>
      <c r="G57" s="5" t="s">
        <v>124</v>
      </c>
      <c r="H57" s="4" t="e" cm="1">
        <f t="array" ref="H57">≤3天</f>
        <v>#NAME?</v>
      </c>
      <c r="I57" s="4" t="s">
        <v>358</v>
      </c>
      <c r="J57" s="4"/>
      <c r="K57" s="4"/>
    </row>
    <row r="58" ht="58.5" spans="1:11">
      <c r="A58" s="6"/>
      <c r="B58" s="2" t="s">
        <v>471</v>
      </c>
      <c r="C58" s="2" t="s">
        <v>472</v>
      </c>
      <c r="D58" s="12"/>
      <c r="E58" s="13"/>
      <c r="F58" s="4" t="s">
        <v>396</v>
      </c>
      <c r="G58" s="5" t="s">
        <v>397</v>
      </c>
      <c r="H58" s="4" t="e" cm="1">
        <f t="array" ref="H58">抢票型</f>
        <v>#NAME?</v>
      </c>
      <c r="I58" s="4" t="s">
        <v>118</v>
      </c>
      <c r="J58" s="4" t="s">
        <v>473</v>
      </c>
      <c r="K58" s="4" t="s">
        <v>474</v>
      </c>
    </row>
    <row r="59" ht="28.5" spans="1:11">
      <c r="A59" s="6"/>
      <c r="B59" s="6"/>
      <c r="C59" s="6"/>
      <c r="D59" s="12"/>
      <c r="E59" s="13"/>
      <c r="F59" s="4" t="s">
        <v>86</v>
      </c>
      <c r="G59" s="5" t="s">
        <v>87</v>
      </c>
      <c r="H59" s="4" t="s">
        <v>475</v>
      </c>
      <c r="I59" s="4" t="s">
        <v>388</v>
      </c>
      <c r="J59" s="4"/>
      <c r="K59" s="4"/>
    </row>
    <row r="60" ht="38.25" spans="1:11">
      <c r="A60" s="6"/>
      <c r="B60" s="6"/>
      <c r="C60" s="6"/>
      <c r="D60" s="12"/>
      <c r="E60" s="13"/>
      <c r="F60" s="4" t="s">
        <v>384</v>
      </c>
      <c r="G60" s="5" t="s">
        <v>189</v>
      </c>
      <c r="H60" s="4" t="s">
        <v>476</v>
      </c>
      <c r="I60" s="4" t="s">
        <v>118</v>
      </c>
      <c r="J60" s="4"/>
      <c r="K60" s="4"/>
    </row>
    <row r="61" ht="28.5" spans="1:11">
      <c r="A61" s="8"/>
      <c r="B61" s="8"/>
      <c r="C61" s="8"/>
      <c r="D61" s="14"/>
      <c r="E61" s="15"/>
      <c r="F61" s="4" t="s">
        <v>216</v>
      </c>
      <c r="G61" s="5" t="s">
        <v>217</v>
      </c>
      <c r="H61" s="4" t="s">
        <v>477</v>
      </c>
      <c r="I61" s="4" t="s">
        <v>379</v>
      </c>
      <c r="J61" s="4"/>
      <c r="K61" s="4"/>
    </row>
    <row r="62" ht="57.75" spans="1:11">
      <c r="A62" s="2" t="s">
        <v>478</v>
      </c>
      <c r="B62" s="2" t="s">
        <v>479</v>
      </c>
      <c r="C62" s="2" t="s">
        <v>480</v>
      </c>
      <c r="D62" s="10" t="s">
        <v>351</v>
      </c>
      <c r="E62" s="11">
        <v>0.3</v>
      </c>
      <c r="F62" s="4" t="s">
        <v>481</v>
      </c>
      <c r="G62" s="5" t="s">
        <v>482</v>
      </c>
      <c r="H62" s="4" t="s">
        <v>483</v>
      </c>
      <c r="I62" s="4" t="s">
        <v>373</v>
      </c>
      <c r="J62" s="4" t="s">
        <v>484</v>
      </c>
      <c r="K62" s="4" t="s">
        <v>485</v>
      </c>
    </row>
    <row r="63" ht="28.5" spans="1:11">
      <c r="A63" s="6"/>
      <c r="B63" s="6"/>
      <c r="C63" s="6"/>
      <c r="D63" s="12"/>
      <c r="E63" s="13"/>
      <c r="F63" s="4" t="s">
        <v>213</v>
      </c>
      <c r="G63" s="5" t="s">
        <v>214</v>
      </c>
      <c r="H63" s="4" t="s">
        <v>486</v>
      </c>
      <c r="I63" s="4" t="s">
        <v>379</v>
      </c>
      <c r="J63" s="4"/>
      <c r="K63" s="4"/>
    </row>
    <row r="64" ht="28.5" spans="1:11">
      <c r="A64" s="6"/>
      <c r="B64" s="6"/>
      <c r="C64" s="6"/>
      <c r="D64" s="12"/>
      <c r="E64" s="13"/>
      <c r="F64" s="4" t="s">
        <v>487</v>
      </c>
      <c r="G64" s="5" t="s">
        <v>103</v>
      </c>
      <c r="H64" s="4" t="s">
        <v>488</v>
      </c>
      <c r="I64" s="4" t="s">
        <v>388</v>
      </c>
      <c r="J64" s="4"/>
      <c r="K64" s="4"/>
    </row>
    <row r="65" ht="41.25" spans="1:11">
      <c r="A65" s="6"/>
      <c r="B65" s="8"/>
      <c r="C65" s="8"/>
      <c r="D65" s="14"/>
      <c r="E65" s="15"/>
      <c r="F65" s="4" t="s">
        <v>489</v>
      </c>
      <c r="G65" s="5" t="s">
        <v>490</v>
      </c>
      <c r="H65" s="4" t="s">
        <v>491</v>
      </c>
      <c r="I65" s="4" t="s">
        <v>492</v>
      </c>
      <c r="J65" s="4"/>
      <c r="K65" s="4"/>
    </row>
    <row r="66" ht="43.5" spans="1:11">
      <c r="A66" s="6"/>
      <c r="B66" s="2" t="s">
        <v>493</v>
      </c>
      <c r="C66" s="2" t="s">
        <v>494</v>
      </c>
      <c r="D66" s="10" t="s">
        <v>370</v>
      </c>
      <c r="E66" s="11">
        <v>0.7</v>
      </c>
      <c r="F66" s="4" t="s">
        <v>376</v>
      </c>
      <c r="G66" s="5" t="s">
        <v>207</v>
      </c>
      <c r="H66" s="4" t="e" cm="1">
        <f t="array" ref="H66">普卡</f>
        <v>#NAME?</v>
      </c>
      <c r="I66" s="4" t="s">
        <v>373</v>
      </c>
      <c r="J66" s="4" t="s">
        <v>495</v>
      </c>
      <c r="K66" s="4" t="s">
        <v>496</v>
      </c>
    </row>
    <row r="67" ht="28.5" spans="1:11">
      <c r="A67" s="6"/>
      <c r="B67" s="6"/>
      <c r="C67" s="6"/>
      <c r="D67" s="12"/>
      <c r="E67" s="13"/>
      <c r="F67" s="4" t="s">
        <v>213</v>
      </c>
      <c r="G67" s="5" t="s">
        <v>214</v>
      </c>
      <c r="H67" s="4" t="s">
        <v>497</v>
      </c>
      <c r="I67" s="4" t="s">
        <v>379</v>
      </c>
      <c r="J67" s="4"/>
      <c r="K67" s="4"/>
    </row>
    <row r="68" ht="28.5" spans="1:11">
      <c r="A68" s="6"/>
      <c r="B68" s="6"/>
      <c r="C68" s="6"/>
      <c r="D68" s="12"/>
      <c r="E68" s="13"/>
      <c r="F68" s="4" t="s">
        <v>487</v>
      </c>
      <c r="G68" s="5" t="s">
        <v>103</v>
      </c>
      <c r="H68" s="4" t="s">
        <v>498</v>
      </c>
      <c r="I68" s="4" t="s">
        <v>388</v>
      </c>
      <c r="J68" s="16"/>
      <c r="K68" s="16"/>
    </row>
    <row r="69" ht="25.5" spans="1:11">
      <c r="A69" s="8"/>
      <c r="B69" s="8"/>
      <c r="C69" s="8"/>
      <c r="D69" s="14"/>
      <c r="E69" s="15"/>
      <c r="F69" s="4" t="s">
        <v>499</v>
      </c>
      <c r="G69" s="5" t="s">
        <v>304</v>
      </c>
      <c r="H69" s="4" t="e" cm="1">
        <f t="array" ref="H69">无明确出行意图</f>
        <v>#NAME?</v>
      </c>
      <c r="I69" s="4" t="s">
        <v>416</v>
      </c>
      <c r="J69" s="17"/>
      <c r="K69" s="17"/>
    </row>
  </sheetData>
  <mergeCells count="61">
    <mergeCell ref="A2:A13"/>
    <mergeCell ref="A14:A25"/>
    <mergeCell ref="A26:A41"/>
    <mergeCell ref="A42:A53"/>
    <mergeCell ref="A54:A61"/>
    <mergeCell ref="A62:A6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C2:C5"/>
    <mergeCell ref="C14:C17"/>
    <mergeCell ref="C18:C21"/>
    <mergeCell ref="C22:C25"/>
    <mergeCell ref="C26:C29"/>
    <mergeCell ref="C30:C33"/>
    <mergeCell ref="C34:C37"/>
    <mergeCell ref="C38:C41"/>
    <mergeCell ref="C42:C45"/>
    <mergeCell ref="C46:C49"/>
    <mergeCell ref="C50:C53"/>
    <mergeCell ref="C54:C57"/>
    <mergeCell ref="C58:C61"/>
    <mergeCell ref="C62:C65"/>
    <mergeCell ref="C66:C69"/>
    <mergeCell ref="D2:D5"/>
    <mergeCell ref="D6:D9"/>
    <mergeCell ref="D10:D13"/>
    <mergeCell ref="D14:D17"/>
    <mergeCell ref="D18:D21"/>
    <mergeCell ref="D22:D25"/>
    <mergeCell ref="D26:D61"/>
    <mergeCell ref="D62:D65"/>
    <mergeCell ref="D66:D69"/>
    <mergeCell ref="E2:E5"/>
    <mergeCell ref="E6:E9"/>
    <mergeCell ref="E10:E13"/>
    <mergeCell ref="E14:E17"/>
    <mergeCell ref="E18:E21"/>
    <mergeCell ref="E22:E25"/>
    <mergeCell ref="E26:E29"/>
    <mergeCell ref="E30:E33"/>
    <mergeCell ref="E34:E41"/>
    <mergeCell ref="E42:E45"/>
    <mergeCell ref="E46:E53"/>
    <mergeCell ref="E54:E61"/>
    <mergeCell ref="E62:E65"/>
    <mergeCell ref="E66:E69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旅客画像维度</vt:lpstr>
      <vt:lpstr>画像类型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豌豆射手</cp:lastModifiedBy>
  <dcterms:created xsi:type="dcterms:W3CDTF">2023-05-12T11:15:00Z</dcterms:created>
  <dcterms:modified xsi:type="dcterms:W3CDTF">2026-08-27T06:28:54Z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9115C2A653FA4AD49839BD0371F5B97D_12</vt:lpwstr>
  </property>
  <property fmtid="{D5CDD505-2E9C-101B-9397-08002B2CF9AE}" pid="4" name="CalculationRule">
    <vt:i4>0</vt:i4>
  </property>
</Properties>
</file>